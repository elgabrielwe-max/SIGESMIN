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NilsIngaroca\Downloads\"/>
    </mc:Choice>
  </mc:AlternateContent>
  <xr:revisionPtr revIDLastSave="0" documentId="13_ncr:1_{26912D61-7223-4640-847D-26E8E017FD02}" xr6:coauthVersionLast="36" xr6:coauthVersionMax="36" xr10:uidLastSave="{00000000-0000-0000-0000-000000000000}"/>
  <bookViews>
    <workbookView xWindow="0" yWindow="0" windowWidth="28800" windowHeight="12105" activeTab="4" xr2:uid="{00000000-000D-0000-FFFF-FFFF00000000}"/>
  </bookViews>
  <sheets>
    <sheet name="PROGRAMA LECTURA" sheetId="1" r:id="rId1"/>
    <sheet name="CUMPLIMIENTO GUARDIAS" sheetId="2" r:id="rId2"/>
    <sheet name="DASHBOARD" sheetId="3" r:id="rId3"/>
    <sheet name="MAPEO TEMAS" sheetId="4" r:id="rId4"/>
    <sheet name="DASHBOARD AVANZADO" sheetId="5" r:id="rId5"/>
  </sheets>
  <calcPr calcId="179021"/>
</workbook>
</file>

<file path=xl/calcChain.xml><?xml version="1.0" encoding="utf-8"?>
<calcChain xmlns="http://schemas.openxmlformats.org/spreadsheetml/2006/main">
  <c r="O49" i="5" l="1"/>
  <c r="N49" i="5" s="1"/>
  <c r="O48" i="5"/>
  <c r="N48" i="5" s="1"/>
  <c r="O47" i="5"/>
  <c r="N47" i="5" s="1"/>
  <c r="O46" i="5"/>
  <c r="N46" i="5" s="1"/>
  <c r="O45" i="5"/>
  <c r="O44" i="5"/>
  <c r="M44" i="5" s="1"/>
  <c r="O43" i="5"/>
  <c r="J43" i="5" s="1"/>
  <c r="O42" i="5"/>
  <c r="M42" i="5" s="1"/>
  <c r="O41" i="5"/>
  <c r="J41" i="5" s="1"/>
  <c r="O40" i="5"/>
  <c r="L40" i="5" s="1"/>
  <c r="O39" i="5"/>
  <c r="L39" i="5" s="1"/>
  <c r="O38" i="5"/>
  <c r="M38" i="5" s="1"/>
  <c r="O37" i="5"/>
  <c r="L37" i="5" s="1"/>
  <c r="O36" i="5"/>
  <c r="N36" i="5" s="1"/>
  <c r="O35" i="5"/>
  <c r="J35" i="5" s="1"/>
  <c r="O34" i="5"/>
  <c r="M34" i="5" s="1"/>
  <c r="O33" i="5"/>
  <c r="J33" i="5" s="1"/>
  <c r="O32" i="5"/>
  <c r="J32" i="5" s="1"/>
  <c r="H32" i="5"/>
  <c r="C32" i="5" s="1"/>
  <c r="O31" i="5"/>
  <c r="M31" i="5" s="1"/>
  <c r="O30" i="5"/>
  <c r="M30" i="5" s="1"/>
  <c r="O29" i="5"/>
  <c r="L29" i="5" s="1"/>
  <c r="O28" i="5"/>
  <c r="M28" i="5" s="1"/>
  <c r="O27" i="5"/>
  <c r="K27" i="5" s="1"/>
  <c r="O26" i="5"/>
  <c r="K26" i="5" s="1"/>
  <c r="H26" i="5"/>
  <c r="O25" i="5"/>
  <c r="J25" i="5" s="1"/>
  <c r="O24" i="5"/>
  <c r="K24" i="5" s="1"/>
  <c r="O23" i="5"/>
  <c r="M23" i="5" s="1"/>
  <c r="H19" i="5"/>
  <c r="A7" i="5"/>
  <c r="A11" i="5" s="1"/>
  <c r="J406" i="4"/>
  <c r="I406" i="4"/>
  <c r="H406" i="4"/>
  <c r="G406" i="4"/>
  <c r="E406" i="4"/>
  <c r="K406" i="4" s="1"/>
  <c r="J405" i="4"/>
  <c r="I405" i="4"/>
  <c r="H405" i="4"/>
  <c r="G405" i="4"/>
  <c r="F405" i="4"/>
  <c r="J404" i="4"/>
  <c r="I404" i="4"/>
  <c r="H404" i="4"/>
  <c r="G404" i="4"/>
  <c r="J403" i="4"/>
  <c r="I403" i="4"/>
  <c r="H403" i="4"/>
  <c r="G403" i="4"/>
  <c r="J402" i="4"/>
  <c r="I402" i="4"/>
  <c r="H402" i="4"/>
  <c r="G402" i="4"/>
  <c r="E402" i="4"/>
  <c r="K402" i="4" s="1"/>
  <c r="J401" i="4"/>
  <c r="I401" i="4"/>
  <c r="H401" i="4"/>
  <c r="G401" i="4"/>
  <c r="K400" i="4"/>
  <c r="J400" i="4"/>
  <c r="I400" i="4"/>
  <c r="H400" i="4"/>
  <c r="G400" i="4"/>
  <c r="E400" i="4"/>
  <c r="J399" i="4"/>
  <c r="I399" i="4"/>
  <c r="H399" i="4"/>
  <c r="G399" i="4"/>
  <c r="J398" i="4"/>
  <c r="I398" i="4"/>
  <c r="H398" i="4"/>
  <c r="G398" i="4"/>
  <c r="K397" i="4"/>
  <c r="J397" i="4"/>
  <c r="I397" i="4"/>
  <c r="H397" i="4"/>
  <c r="G397" i="4"/>
  <c r="J396" i="4"/>
  <c r="I396" i="4"/>
  <c r="H396" i="4"/>
  <c r="G396" i="4"/>
  <c r="E396" i="4"/>
  <c r="K396" i="4" s="1"/>
  <c r="J395" i="4"/>
  <c r="I395" i="4"/>
  <c r="H395" i="4"/>
  <c r="G395" i="4"/>
  <c r="K394" i="4"/>
  <c r="J394" i="4"/>
  <c r="I394" i="4"/>
  <c r="H394" i="4"/>
  <c r="G394" i="4"/>
  <c r="J393" i="4"/>
  <c r="I393" i="4"/>
  <c r="H393" i="4"/>
  <c r="G393" i="4"/>
  <c r="J392" i="4"/>
  <c r="I392" i="4"/>
  <c r="H392" i="4"/>
  <c r="G392" i="4"/>
  <c r="J391" i="4"/>
  <c r="I391" i="4"/>
  <c r="H391" i="4"/>
  <c r="G391" i="4"/>
  <c r="K390" i="4"/>
  <c r="J390" i="4"/>
  <c r="I390" i="4"/>
  <c r="H390" i="4"/>
  <c r="G390" i="4"/>
  <c r="J389" i="4"/>
  <c r="I389" i="4"/>
  <c r="H389" i="4"/>
  <c r="G389" i="4"/>
  <c r="J388" i="4"/>
  <c r="I388" i="4"/>
  <c r="H388" i="4"/>
  <c r="G388" i="4"/>
  <c r="J387" i="4"/>
  <c r="I387" i="4"/>
  <c r="H387" i="4"/>
  <c r="G387" i="4"/>
  <c r="K386" i="4"/>
  <c r="J386" i="4"/>
  <c r="I386" i="4"/>
  <c r="H386" i="4"/>
  <c r="G386" i="4"/>
  <c r="E386" i="4"/>
  <c r="J385" i="4"/>
  <c r="I385" i="4"/>
  <c r="H385" i="4"/>
  <c r="G385" i="4"/>
  <c r="J384" i="4"/>
  <c r="I384" i="4"/>
  <c r="H384" i="4"/>
  <c r="G384" i="4"/>
  <c r="J383" i="4"/>
  <c r="I383" i="4"/>
  <c r="H383" i="4"/>
  <c r="G383" i="4"/>
  <c r="J382" i="4"/>
  <c r="I382" i="4"/>
  <c r="H382" i="4"/>
  <c r="G382" i="4"/>
  <c r="J381" i="4"/>
  <c r="I381" i="4"/>
  <c r="H381" i="4"/>
  <c r="G381" i="4"/>
  <c r="J380" i="4"/>
  <c r="I380" i="4"/>
  <c r="H380" i="4"/>
  <c r="G380" i="4"/>
  <c r="E380" i="4"/>
  <c r="K380" i="4" s="1"/>
  <c r="J379" i="4"/>
  <c r="I379" i="4"/>
  <c r="H379" i="4"/>
  <c r="G379" i="4"/>
  <c r="J378" i="4"/>
  <c r="I378" i="4"/>
  <c r="H378" i="4"/>
  <c r="G378" i="4"/>
  <c r="K377" i="4"/>
  <c r="J377" i="4"/>
  <c r="I377" i="4"/>
  <c r="H377" i="4"/>
  <c r="G377" i="4"/>
  <c r="J376" i="4"/>
  <c r="I376" i="4"/>
  <c r="H376" i="4"/>
  <c r="G376" i="4"/>
  <c r="J375" i="4"/>
  <c r="I375" i="4"/>
  <c r="H375" i="4"/>
  <c r="G375" i="4"/>
  <c r="J374" i="4"/>
  <c r="I374" i="4"/>
  <c r="H374" i="4"/>
  <c r="G374" i="4"/>
  <c r="J373" i="4"/>
  <c r="I373" i="4"/>
  <c r="H373" i="4"/>
  <c r="G373" i="4"/>
  <c r="J372" i="4"/>
  <c r="I372" i="4"/>
  <c r="H372" i="4"/>
  <c r="G372" i="4"/>
  <c r="K371" i="4"/>
  <c r="J371" i="4"/>
  <c r="I371" i="4"/>
  <c r="H371" i="4"/>
  <c r="G371" i="4"/>
  <c r="J370" i="4"/>
  <c r="I370" i="4"/>
  <c r="H370" i="4"/>
  <c r="G370" i="4"/>
  <c r="J369" i="4"/>
  <c r="I369" i="4"/>
  <c r="H369" i="4"/>
  <c r="G369" i="4"/>
  <c r="J368" i="4"/>
  <c r="I368" i="4"/>
  <c r="H368" i="4"/>
  <c r="G368" i="4"/>
  <c r="J367" i="4"/>
  <c r="I367" i="4"/>
  <c r="H367" i="4"/>
  <c r="G367" i="4"/>
  <c r="K366" i="4"/>
  <c r="J366" i="4"/>
  <c r="I366" i="4"/>
  <c r="H366" i="4"/>
  <c r="G366" i="4"/>
  <c r="E366" i="4"/>
  <c r="J365" i="4"/>
  <c r="I365" i="4"/>
  <c r="H365" i="4"/>
  <c r="G365" i="4"/>
  <c r="J364" i="4"/>
  <c r="I364" i="4"/>
  <c r="H364" i="4"/>
  <c r="G364" i="4"/>
  <c r="J363" i="4"/>
  <c r="I363" i="4"/>
  <c r="H363" i="4"/>
  <c r="G363" i="4"/>
  <c r="J362" i="4"/>
  <c r="I362" i="4"/>
  <c r="H362" i="4"/>
  <c r="G362" i="4"/>
  <c r="F362" i="4"/>
  <c r="E362" i="4"/>
  <c r="K362" i="4" s="1"/>
  <c r="K361" i="4"/>
  <c r="J361" i="4"/>
  <c r="I361" i="4"/>
  <c r="H361" i="4"/>
  <c r="G361" i="4"/>
  <c r="J360" i="4"/>
  <c r="I360" i="4"/>
  <c r="H360" i="4"/>
  <c r="G360" i="4"/>
  <c r="J359" i="4"/>
  <c r="I359" i="4"/>
  <c r="H359" i="4"/>
  <c r="G359" i="4"/>
  <c r="J358" i="4"/>
  <c r="I358" i="4"/>
  <c r="H358" i="4"/>
  <c r="G358" i="4"/>
  <c r="E358" i="4"/>
  <c r="K358" i="4" s="1"/>
  <c r="K357" i="4"/>
  <c r="J357" i="4"/>
  <c r="I357" i="4"/>
  <c r="H357" i="4"/>
  <c r="G357" i="4"/>
  <c r="K356" i="4"/>
  <c r="J356" i="4"/>
  <c r="I356" i="4"/>
  <c r="H356" i="4"/>
  <c r="G356" i="4"/>
  <c r="J355" i="4"/>
  <c r="I355" i="4"/>
  <c r="H355" i="4"/>
  <c r="G355" i="4"/>
  <c r="J354" i="4"/>
  <c r="I354" i="4"/>
  <c r="H354" i="4"/>
  <c r="G354" i="4"/>
  <c r="J353" i="4"/>
  <c r="I353" i="4"/>
  <c r="H353" i="4"/>
  <c r="G353" i="4"/>
  <c r="K352" i="4"/>
  <c r="J352" i="4"/>
  <c r="I352" i="4"/>
  <c r="H352" i="4"/>
  <c r="G352" i="4"/>
  <c r="K351" i="4"/>
  <c r="J351" i="4"/>
  <c r="I351" i="4"/>
  <c r="H351" i="4"/>
  <c r="G351" i="4"/>
  <c r="K350" i="4"/>
  <c r="J350" i="4"/>
  <c r="I350" i="4"/>
  <c r="H350" i="4"/>
  <c r="G350" i="4"/>
  <c r="J349" i="4"/>
  <c r="I349" i="4"/>
  <c r="H349" i="4"/>
  <c r="G349" i="4"/>
  <c r="J348" i="4"/>
  <c r="I348" i="4"/>
  <c r="H348" i="4"/>
  <c r="G348" i="4"/>
  <c r="K347" i="4"/>
  <c r="J347" i="4"/>
  <c r="I347" i="4"/>
  <c r="H347" i="4"/>
  <c r="G347" i="4"/>
  <c r="K346" i="4"/>
  <c r="J346" i="4"/>
  <c r="I346" i="4"/>
  <c r="H346" i="4"/>
  <c r="G346" i="4"/>
  <c r="J345" i="4"/>
  <c r="I345" i="4"/>
  <c r="H345" i="4"/>
  <c r="G345" i="4"/>
  <c r="J344" i="4"/>
  <c r="I344" i="4"/>
  <c r="H344" i="4"/>
  <c r="G344" i="4"/>
  <c r="K343" i="4"/>
  <c r="J343" i="4"/>
  <c r="I343" i="4"/>
  <c r="H343" i="4"/>
  <c r="G343" i="4"/>
  <c r="J342" i="4"/>
  <c r="I342" i="4"/>
  <c r="H342" i="4"/>
  <c r="G342" i="4"/>
  <c r="J341" i="4"/>
  <c r="I341" i="4"/>
  <c r="H341" i="4"/>
  <c r="G341" i="4"/>
  <c r="J340" i="4"/>
  <c r="I340" i="4"/>
  <c r="H340" i="4"/>
  <c r="G340" i="4"/>
  <c r="E340" i="4"/>
  <c r="K340" i="4" s="1"/>
  <c r="J339" i="4"/>
  <c r="I339" i="4"/>
  <c r="H339" i="4"/>
  <c r="G339" i="4"/>
  <c r="K338" i="4"/>
  <c r="J338" i="4"/>
  <c r="I338" i="4"/>
  <c r="H338" i="4"/>
  <c r="G338" i="4"/>
  <c r="E338" i="4"/>
  <c r="J337" i="4"/>
  <c r="I337" i="4"/>
  <c r="H337" i="4"/>
  <c r="G337" i="4"/>
  <c r="J336" i="4"/>
  <c r="I336" i="4"/>
  <c r="H336" i="4"/>
  <c r="G336" i="4"/>
  <c r="E336" i="4"/>
  <c r="K336" i="4" s="1"/>
  <c r="K335" i="4"/>
  <c r="J335" i="4"/>
  <c r="I335" i="4"/>
  <c r="H335" i="4"/>
  <c r="G335" i="4"/>
  <c r="K334" i="4"/>
  <c r="J334" i="4"/>
  <c r="I334" i="4"/>
  <c r="H334" i="4"/>
  <c r="G334" i="4"/>
  <c r="J333" i="4"/>
  <c r="I333" i="4"/>
  <c r="H333" i="4"/>
  <c r="G333" i="4"/>
  <c r="J332" i="4"/>
  <c r="I332" i="4"/>
  <c r="H332" i="4"/>
  <c r="G332" i="4"/>
  <c r="J331" i="4"/>
  <c r="I331" i="4"/>
  <c r="H331" i="4"/>
  <c r="G331" i="4"/>
  <c r="K330" i="4"/>
  <c r="J330" i="4"/>
  <c r="I330" i="4"/>
  <c r="H330" i="4"/>
  <c r="G330" i="4"/>
  <c r="E330" i="4"/>
  <c r="J329" i="4"/>
  <c r="H329" i="4"/>
  <c r="G329" i="4"/>
  <c r="J328" i="4"/>
  <c r="G328" i="4"/>
  <c r="J327" i="4"/>
  <c r="G327" i="4"/>
  <c r="J326" i="4"/>
  <c r="G326" i="4"/>
  <c r="E326" i="4"/>
  <c r="K326" i="4" s="1"/>
  <c r="K325" i="4"/>
  <c r="J325" i="4"/>
  <c r="H325" i="4"/>
  <c r="G325" i="4"/>
  <c r="J324" i="4"/>
  <c r="I324" i="4"/>
  <c r="G324" i="4"/>
  <c r="E324" i="4"/>
  <c r="K324" i="4" s="1"/>
  <c r="K323" i="4"/>
  <c r="J323" i="4"/>
  <c r="G323" i="4"/>
  <c r="J322" i="4"/>
  <c r="G322" i="4"/>
  <c r="J321" i="4"/>
  <c r="I321" i="4"/>
  <c r="G321" i="4"/>
  <c r="J320" i="4"/>
  <c r="I320" i="4"/>
  <c r="G320" i="4"/>
  <c r="E320" i="4"/>
  <c r="K320" i="4" s="1"/>
  <c r="K319" i="4"/>
  <c r="J319" i="4"/>
  <c r="I319" i="4"/>
  <c r="G319" i="4"/>
  <c r="J318" i="4"/>
  <c r="G318" i="4"/>
  <c r="J317" i="4"/>
  <c r="I317" i="4"/>
  <c r="G317" i="4"/>
  <c r="J316" i="4"/>
  <c r="G316" i="4"/>
  <c r="E316" i="4"/>
  <c r="K316" i="4" s="1"/>
  <c r="J315" i="4"/>
  <c r="I315" i="4"/>
  <c r="H315" i="4"/>
  <c r="G315" i="4"/>
  <c r="J314" i="4"/>
  <c r="H314" i="4"/>
  <c r="G314" i="4"/>
  <c r="J313" i="4"/>
  <c r="G313" i="4"/>
  <c r="K312" i="4"/>
  <c r="J312" i="4"/>
  <c r="H312" i="4"/>
  <c r="G312" i="4"/>
  <c r="E312" i="4"/>
  <c r="K311" i="4"/>
  <c r="J311" i="4"/>
  <c r="I311" i="4"/>
  <c r="H311" i="4"/>
  <c r="G311" i="4"/>
  <c r="J310" i="4"/>
  <c r="G310" i="4"/>
  <c r="J309" i="4"/>
  <c r="I309" i="4"/>
  <c r="H309" i="4"/>
  <c r="G309" i="4"/>
  <c r="J308" i="4"/>
  <c r="I308" i="4"/>
  <c r="H308" i="4"/>
  <c r="G308" i="4"/>
  <c r="E308" i="4"/>
  <c r="K308" i="4" s="1"/>
  <c r="K307" i="4"/>
  <c r="J307" i="4"/>
  <c r="I307" i="4"/>
  <c r="G307" i="4"/>
  <c r="J306" i="4"/>
  <c r="H306" i="4"/>
  <c r="G306" i="4"/>
  <c r="E306" i="4"/>
  <c r="K306" i="4" s="1"/>
  <c r="K305" i="4"/>
  <c r="J305" i="4"/>
  <c r="G305" i="4"/>
  <c r="J304" i="4"/>
  <c r="G304" i="4"/>
  <c r="J303" i="4"/>
  <c r="G303" i="4"/>
  <c r="K302" i="4"/>
  <c r="J302" i="4"/>
  <c r="H302" i="4"/>
  <c r="G302" i="4"/>
  <c r="K301" i="4"/>
  <c r="J301" i="4"/>
  <c r="G301" i="4"/>
  <c r="J300" i="4"/>
  <c r="G300" i="4"/>
  <c r="J299" i="4"/>
  <c r="G299" i="4"/>
  <c r="K298" i="4"/>
  <c r="J298" i="4"/>
  <c r="H298" i="4"/>
  <c r="G298" i="4"/>
  <c r="K297" i="4"/>
  <c r="J297" i="4"/>
  <c r="G297" i="4"/>
  <c r="J296" i="4"/>
  <c r="I296" i="4"/>
  <c r="H296" i="4"/>
  <c r="G296" i="4"/>
  <c r="K295" i="4"/>
  <c r="J295" i="4"/>
  <c r="G295" i="4"/>
  <c r="J294" i="4"/>
  <c r="G294" i="4"/>
  <c r="J293" i="4"/>
  <c r="H293" i="4"/>
  <c r="G293" i="4"/>
  <c r="K292" i="4"/>
  <c r="J292" i="4"/>
  <c r="G292" i="4"/>
  <c r="K291" i="4"/>
  <c r="J291" i="4"/>
  <c r="G291" i="4"/>
  <c r="J290" i="4"/>
  <c r="G290" i="4"/>
  <c r="J289" i="4"/>
  <c r="I289" i="4"/>
  <c r="H289" i="4"/>
  <c r="G289" i="4"/>
  <c r="J288" i="4"/>
  <c r="G288" i="4"/>
  <c r="J287" i="4"/>
  <c r="I287" i="4"/>
  <c r="H287" i="4"/>
  <c r="G287" i="4"/>
  <c r="K286" i="4"/>
  <c r="J286" i="4"/>
  <c r="I286" i="4"/>
  <c r="H286" i="4"/>
  <c r="G286" i="4"/>
  <c r="K285" i="4"/>
  <c r="J285" i="4"/>
  <c r="G285" i="4"/>
  <c r="J284" i="4"/>
  <c r="I284" i="4"/>
  <c r="H284" i="4"/>
  <c r="G284" i="4"/>
  <c r="E284" i="4"/>
  <c r="K284" i="4" s="1"/>
  <c r="J283" i="4"/>
  <c r="I283" i="4"/>
  <c r="G283" i="4"/>
  <c r="J282" i="4"/>
  <c r="G282" i="4"/>
  <c r="J281" i="4"/>
  <c r="G281" i="4"/>
  <c r="J280" i="4"/>
  <c r="G280" i="4"/>
  <c r="E280" i="4"/>
  <c r="K280" i="4" s="1"/>
  <c r="J279" i="4"/>
  <c r="G279" i="4"/>
  <c r="J278" i="4"/>
  <c r="G278" i="4"/>
  <c r="J277" i="4"/>
  <c r="I277" i="4"/>
  <c r="H277" i="4"/>
  <c r="G277" i="4"/>
  <c r="J276" i="4"/>
  <c r="G276" i="4"/>
  <c r="J275" i="4"/>
  <c r="I275" i="4"/>
  <c r="H275" i="4"/>
  <c r="G275" i="4"/>
  <c r="J274" i="4"/>
  <c r="H274" i="4"/>
  <c r="G274" i="4"/>
  <c r="E274" i="4"/>
  <c r="K274" i="4" s="1"/>
  <c r="J273" i="4"/>
  <c r="G273" i="4"/>
  <c r="J272" i="4"/>
  <c r="G272" i="4"/>
  <c r="E272" i="4"/>
  <c r="K272" i="4" s="1"/>
  <c r="K271" i="4"/>
  <c r="J271" i="4"/>
  <c r="G271" i="4"/>
  <c r="J270" i="4"/>
  <c r="H270" i="4"/>
  <c r="G270" i="4"/>
  <c r="J269" i="4"/>
  <c r="I269" i="4"/>
  <c r="H269" i="4"/>
  <c r="G269" i="4"/>
  <c r="K268" i="4"/>
  <c r="J268" i="4"/>
  <c r="H268" i="4"/>
  <c r="G268" i="4"/>
  <c r="J267" i="4"/>
  <c r="H267" i="4"/>
  <c r="G267" i="4"/>
  <c r="J266" i="4"/>
  <c r="G266" i="4"/>
  <c r="J265" i="4"/>
  <c r="I265" i="4"/>
  <c r="H265" i="4"/>
  <c r="G265" i="4"/>
  <c r="K264" i="4"/>
  <c r="J264" i="4"/>
  <c r="I264" i="4"/>
  <c r="H264" i="4"/>
  <c r="G264" i="4"/>
  <c r="J263" i="4"/>
  <c r="I263" i="4"/>
  <c r="H263" i="4"/>
  <c r="G263" i="4"/>
  <c r="J262" i="4"/>
  <c r="G262" i="4"/>
  <c r="J261" i="4"/>
  <c r="G261" i="4"/>
  <c r="K260" i="4"/>
  <c r="J260" i="4"/>
  <c r="G260" i="4"/>
  <c r="J259" i="4"/>
  <c r="I259" i="4"/>
  <c r="G259" i="4"/>
  <c r="J258" i="4"/>
  <c r="H258" i="4"/>
  <c r="G258" i="4"/>
  <c r="K257" i="4"/>
  <c r="J257" i="4"/>
  <c r="G257" i="4"/>
  <c r="J256" i="4"/>
  <c r="G256" i="4"/>
  <c r="J255" i="4"/>
  <c r="G255" i="4"/>
  <c r="J254" i="4"/>
  <c r="G254" i="4"/>
  <c r="K253" i="4"/>
  <c r="J253" i="4"/>
  <c r="G253" i="4"/>
  <c r="J252" i="4"/>
  <c r="G252" i="4"/>
  <c r="K251" i="4"/>
  <c r="J251" i="4"/>
  <c r="I251" i="4"/>
  <c r="G251" i="4"/>
  <c r="J250" i="4"/>
  <c r="G250" i="4"/>
  <c r="E250" i="4"/>
  <c r="K250" i="4" s="1"/>
  <c r="J249" i="4"/>
  <c r="I249" i="4"/>
  <c r="H249" i="4"/>
  <c r="G249" i="4"/>
  <c r="J248" i="4"/>
  <c r="I248" i="4"/>
  <c r="H248" i="4"/>
  <c r="G248" i="4"/>
  <c r="J247" i="4"/>
  <c r="I247" i="4"/>
  <c r="G247" i="4"/>
  <c r="J246" i="4"/>
  <c r="H246" i="4"/>
  <c r="G246" i="4"/>
  <c r="E246" i="4"/>
  <c r="K246" i="4" s="1"/>
  <c r="J245" i="4"/>
  <c r="G245" i="4"/>
  <c r="J244" i="4"/>
  <c r="I244" i="4"/>
  <c r="G244" i="4"/>
  <c r="J243" i="4"/>
  <c r="I243" i="4"/>
  <c r="H243" i="4"/>
  <c r="G243" i="4"/>
  <c r="J242" i="4"/>
  <c r="I242" i="4"/>
  <c r="H242" i="4"/>
  <c r="G242" i="4"/>
  <c r="E242" i="4"/>
  <c r="K242" i="4" s="1"/>
  <c r="K241" i="4"/>
  <c r="J241" i="4"/>
  <c r="G241" i="4"/>
  <c r="J240" i="4"/>
  <c r="G240" i="4"/>
  <c r="E240" i="4"/>
  <c r="K240" i="4" s="1"/>
  <c r="J239" i="4"/>
  <c r="G239" i="4"/>
  <c r="J238" i="4"/>
  <c r="G238" i="4"/>
  <c r="J237" i="4"/>
  <c r="I237" i="4"/>
  <c r="H237" i="4"/>
  <c r="G237" i="4"/>
  <c r="J236" i="4"/>
  <c r="H236" i="4"/>
  <c r="G236" i="4"/>
  <c r="E236" i="4"/>
  <c r="K236" i="4" s="1"/>
  <c r="J235" i="4"/>
  <c r="G235" i="4"/>
  <c r="J234" i="4"/>
  <c r="H234" i="4"/>
  <c r="G234" i="4"/>
  <c r="K233" i="4"/>
  <c r="J233" i="4"/>
  <c r="G233" i="4"/>
  <c r="J232" i="4"/>
  <c r="G232" i="4"/>
  <c r="J231" i="4"/>
  <c r="H231" i="4"/>
  <c r="G231" i="4"/>
  <c r="J230" i="4"/>
  <c r="G230" i="4"/>
  <c r="E230" i="4"/>
  <c r="K230" i="4" s="1"/>
  <c r="J229" i="4"/>
  <c r="G229" i="4"/>
  <c r="J228" i="4"/>
  <c r="I228" i="4"/>
  <c r="G228" i="4"/>
  <c r="J227" i="4"/>
  <c r="G227" i="4"/>
  <c r="K226" i="4"/>
  <c r="J226" i="4"/>
  <c r="G226" i="4"/>
  <c r="K225" i="4"/>
  <c r="J225" i="4"/>
  <c r="H225" i="4"/>
  <c r="G225" i="4"/>
  <c r="J224" i="4"/>
  <c r="I224" i="4"/>
  <c r="G224" i="4"/>
  <c r="J223" i="4"/>
  <c r="H223" i="4"/>
  <c r="G223" i="4"/>
  <c r="K222" i="4"/>
  <c r="J222" i="4"/>
  <c r="G222" i="4"/>
  <c r="J221" i="4"/>
  <c r="I221" i="4"/>
  <c r="H221" i="4"/>
  <c r="G221" i="4"/>
  <c r="J220" i="4"/>
  <c r="I220" i="4"/>
  <c r="H220" i="4"/>
  <c r="G220" i="4"/>
  <c r="J219" i="4"/>
  <c r="G219" i="4"/>
  <c r="J218" i="4"/>
  <c r="G218" i="4"/>
  <c r="J217" i="4"/>
  <c r="G217" i="4"/>
  <c r="J216" i="4"/>
  <c r="G216" i="4"/>
  <c r="J215" i="4"/>
  <c r="G215" i="4"/>
  <c r="K214" i="4"/>
  <c r="J214" i="4"/>
  <c r="H214" i="4"/>
  <c r="G214" i="4"/>
  <c r="J213" i="4"/>
  <c r="I213" i="4"/>
  <c r="G213" i="4"/>
  <c r="K212" i="4"/>
  <c r="J212" i="4"/>
  <c r="I212" i="4"/>
  <c r="G212" i="4"/>
  <c r="J211" i="4"/>
  <c r="G211" i="4"/>
  <c r="J210" i="4"/>
  <c r="H210" i="4"/>
  <c r="G210" i="4"/>
  <c r="E210" i="4"/>
  <c r="K210" i="4" s="1"/>
  <c r="J209" i="4"/>
  <c r="G209" i="4"/>
  <c r="J208" i="4"/>
  <c r="G208" i="4"/>
  <c r="J207" i="4"/>
  <c r="G207" i="4"/>
  <c r="J206" i="4"/>
  <c r="I206" i="4"/>
  <c r="G206" i="4"/>
  <c r="J205" i="4"/>
  <c r="I205" i="4"/>
  <c r="H205" i="4"/>
  <c r="G205" i="4"/>
  <c r="J204" i="4"/>
  <c r="G204" i="4"/>
  <c r="K203" i="4"/>
  <c r="J203" i="4"/>
  <c r="G203" i="4"/>
  <c r="J202" i="4"/>
  <c r="G202" i="4"/>
  <c r="J201" i="4"/>
  <c r="H201" i="4"/>
  <c r="G201" i="4"/>
  <c r="J200" i="4"/>
  <c r="G200" i="4"/>
  <c r="E200" i="4"/>
  <c r="K200" i="4" s="1"/>
  <c r="K199" i="4"/>
  <c r="J199" i="4"/>
  <c r="I199" i="4"/>
  <c r="H199" i="4"/>
  <c r="G199" i="4"/>
  <c r="K198" i="4"/>
  <c r="J198" i="4"/>
  <c r="I198" i="4"/>
  <c r="H198" i="4"/>
  <c r="G198" i="4"/>
  <c r="J197" i="4"/>
  <c r="H197" i="4"/>
  <c r="G197" i="4"/>
  <c r="E197" i="4"/>
  <c r="K197" i="4" s="1"/>
  <c r="J196" i="4"/>
  <c r="G196" i="4"/>
  <c r="E196" i="4"/>
  <c r="K196" i="4" s="1"/>
  <c r="J195" i="4"/>
  <c r="I195" i="4"/>
  <c r="G195" i="4"/>
  <c r="J194" i="4"/>
  <c r="G194" i="4"/>
  <c r="E194" i="4"/>
  <c r="K194" i="4" s="1"/>
  <c r="K193" i="4"/>
  <c r="J193" i="4"/>
  <c r="I193" i="4"/>
  <c r="G193" i="4"/>
  <c r="J192" i="4"/>
  <c r="G192" i="4"/>
  <c r="K191" i="4"/>
  <c r="J191" i="4"/>
  <c r="G191" i="4"/>
  <c r="J190" i="4"/>
  <c r="G190" i="4"/>
  <c r="J189" i="4"/>
  <c r="G189" i="4"/>
  <c r="E189" i="4"/>
  <c r="K189" i="4" s="1"/>
  <c r="J188" i="4"/>
  <c r="I188" i="4"/>
  <c r="G188" i="4"/>
  <c r="E188" i="4"/>
  <c r="K188" i="4" s="1"/>
  <c r="K187" i="4"/>
  <c r="J187" i="4"/>
  <c r="I187" i="4"/>
  <c r="G187" i="4"/>
  <c r="J186" i="4"/>
  <c r="G186" i="4"/>
  <c r="K185" i="4"/>
  <c r="J185" i="4"/>
  <c r="H185" i="4"/>
  <c r="G185" i="4"/>
  <c r="J184" i="4"/>
  <c r="I184" i="4"/>
  <c r="H184" i="4"/>
  <c r="G184" i="4"/>
  <c r="J183" i="4"/>
  <c r="G183" i="4"/>
  <c r="K182" i="4"/>
  <c r="J182" i="4"/>
  <c r="H182" i="4"/>
  <c r="G182" i="4"/>
  <c r="J181" i="4"/>
  <c r="G181" i="4"/>
  <c r="E181" i="4"/>
  <c r="K181" i="4" s="1"/>
  <c r="J180" i="4"/>
  <c r="G180" i="4"/>
  <c r="J179" i="4"/>
  <c r="I179" i="4"/>
  <c r="H179" i="4"/>
  <c r="G179" i="4"/>
  <c r="J178" i="4"/>
  <c r="G178" i="4"/>
  <c r="J177" i="4"/>
  <c r="I177" i="4"/>
  <c r="H177" i="4"/>
  <c r="G177" i="4"/>
  <c r="J176" i="4"/>
  <c r="I176" i="4"/>
  <c r="H176" i="4"/>
  <c r="G176" i="4"/>
  <c r="J175" i="4"/>
  <c r="I175" i="4"/>
  <c r="G175" i="4"/>
  <c r="J174" i="4"/>
  <c r="G174" i="4"/>
  <c r="E174" i="4"/>
  <c r="K174" i="4" s="1"/>
  <c r="J173" i="4"/>
  <c r="G173" i="4"/>
  <c r="J172" i="4"/>
  <c r="I172" i="4"/>
  <c r="H172" i="4"/>
  <c r="G172" i="4"/>
  <c r="J171" i="4"/>
  <c r="I171" i="4"/>
  <c r="G171" i="4"/>
  <c r="J170" i="4"/>
  <c r="I170" i="4"/>
  <c r="H170" i="4"/>
  <c r="G170" i="4"/>
  <c r="K169" i="4"/>
  <c r="J169" i="4"/>
  <c r="G169" i="4"/>
  <c r="E169" i="4"/>
  <c r="J168" i="4"/>
  <c r="G168" i="4"/>
  <c r="E168" i="4"/>
  <c r="K168" i="4" s="1"/>
  <c r="J167" i="4"/>
  <c r="G167" i="4"/>
  <c r="J166" i="4"/>
  <c r="G166" i="4"/>
  <c r="K165" i="4"/>
  <c r="J165" i="4"/>
  <c r="G165" i="4"/>
  <c r="E165" i="4"/>
  <c r="K164" i="4"/>
  <c r="J164" i="4"/>
  <c r="I164" i="4"/>
  <c r="G164" i="4"/>
  <c r="J163" i="4"/>
  <c r="G163" i="4"/>
  <c r="J162" i="4"/>
  <c r="I162" i="4"/>
  <c r="H162" i="4"/>
  <c r="G162" i="4"/>
  <c r="J161" i="4"/>
  <c r="G161" i="4"/>
  <c r="J160" i="4"/>
  <c r="H160" i="4"/>
  <c r="G160" i="4"/>
  <c r="E160" i="4"/>
  <c r="K160" i="4" s="1"/>
  <c r="K159" i="4"/>
  <c r="J159" i="4"/>
  <c r="G159" i="4"/>
  <c r="K158" i="4"/>
  <c r="J158" i="4"/>
  <c r="I158" i="4"/>
  <c r="H158" i="4"/>
  <c r="G158" i="4"/>
  <c r="J157" i="4"/>
  <c r="I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E154" i="4"/>
  <c r="K154" i="4" s="1"/>
  <c r="K153" i="4"/>
  <c r="J153" i="4"/>
  <c r="G153" i="4"/>
  <c r="J152" i="4"/>
  <c r="I152" i="4"/>
  <c r="G152" i="4"/>
  <c r="J151" i="4"/>
  <c r="G151" i="4"/>
  <c r="J150" i="4"/>
  <c r="I150" i="4"/>
  <c r="G150" i="4"/>
  <c r="J149" i="4"/>
  <c r="G149" i="4"/>
  <c r="J148" i="4"/>
  <c r="I148" i="4"/>
  <c r="H148" i="4"/>
  <c r="G148" i="4"/>
  <c r="J147" i="4"/>
  <c r="I147" i="4"/>
  <c r="H147" i="4"/>
  <c r="G147" i="4"/>
  <c r="J146" i="4"/>
  <c r="G146" i="4"/>
  <c r="E146" i="4"/>
  <c r="K146" i="4" s="1"/>
  <c r="K145" i="4"/>
  <c r="J145" i="4"/>
  <c r="I145" i="4"/>
  <c r="G145" i="4"/>
  <c r="E145" i="4"/>
  <c r="J144" i="4"/>
  <c r="G144" i="4"/>
  <c r="E144" i="4"/>
  <c r="K144" i="4" s="1"/>
  <c r="J143" i="4"/>
  <c r="I143" i="4"/>
  <c r="G143" i="4"/>
  <c r="K142" i="4"/>
  <c r="J142" i="4"/>
  <c r="H142" i="4"/>
  <c r="G142" i="4"/>
  <c r="J141" i="4"/>
  <c r="G141" i="4"/>
  <c r="J140" i="4"/>
  <c r="G140" i="4"/>
  <c r="E140" i="4"/>
  <c r="K140" i="4" s="1"/>
  <c r="J139" i="4"/>
  <c r="I139" i="4"/>
  <c r="H139" i="4"/>
  <c r="G139" i="4"/>
  <c r="J138" i="4"/>
  <c r="G138" i="4"/>
  <c r="F138" i="4"/>
  <c r="K137" i="4"/>
  <c r="J137" i="4"/>
  <c r="G137" i="4"/>
  <c r="J136" i="4"/>
  <c r="G136" i="4"/>
  <c r="K135" i="4"/>
  <c r="J135" i="4"/>
  <c r="H135" i="4"/>
  <c r="G135" i="4"/>
  <c r="J134" i="4"/>
  <c r="G134" i="4"/>
  <c r="J133" i="4"/>
  <c r="I133" i="4"/>
  <c r="H133" i="4"/>
  <c r="G133" i="4"/>
  <c r="J132" i="4"/>
  <c r="I132" i="4"/>
  <c r="H132" i="4"/>
  <c r="G132" i="4"/>
  <c r="J131" i="4"/>
  <c r="G131" i="4"/>
  <c r="J130" i="4"/>
  <c r="I130" i="4"/>
  <c r="G130" i="4"/>
  <c r="E130" i="4"/>
  <c r="K130" i="4" s="1"/>
  <c r="J129" i="4"/>
  <c r="I129" i="4"/>
  <c r="H129" i="4"/>
  <c r="G129" i="4"/>
  <c r="J128" i="4"/>
  <c r="G128" i="4"/>
  <c r="J127" i="4"/>
  <c r="G127" i="4"/>
  <c r="J126" i="4"/>
  <c r="H126" i="4"/>
  <c r="G126" i="4"/>
  <c r="K125" i="4"/>
  <c r="J125" i="4"/>
  <c r="I125" i="4"/>
  <c r="H125" i="4"/>
  <c r="G125" i="4"/>
  <c r="E125" i="4"/>
  <c r="J124" i="4"/>
  <c r="I124" i="4"/>
  <c r="G124" i="4"/>
  <c r="K123" i="4"/>
  <c r="J123" i="4"/>
  <c r="I123" i="4"/>
  <c r="G123" i="4"/>
  <c r="E123" i="4"/>
  <c r="J122" i="4"/>
  <c r="H122" i="4"/>
  <c r="G122" i="4"/>
  <c r="J121" i="4"/>
  <c r="G121" i="4"/>
  <c r="E121" i="4"/>
  <c r="K121" i="4" s="1"/>
  <c r="J120" i="4"/>
  <c r="I120" i="4"/>
  <c r="H120" i="4"/>
  <c r="G120" i="4"/>
  <c r="J119" i="4"/>
  <c r="H119" i="4"/>
  <c r="G119" i="4"/>
  <c r="E119" i="4"/>
  <c r="K119" i="4" s="1"/>
  <c r="K118" i="4"/>
  <c r="J118" i="4"/>
  <c r="I118" i="4"/>
  <c r="G118" i="4"/>
  <c r="J117" i="4"/>
  <c r="G117" i="4"/>
  <c r="E117" i="4"/>
  <c r="K117" i="4" s="1"/>
  <c r="J116" i="4"/>
  <c r="I116" i="4"/>
  <c r="G116" i="4"/>
  <c r="J115" i="4"/>
  <c r="I115" i="4"/>
  <c r="G115" i="4"/>
  <c r="E115" i="4"/>
  <c r="K115" i="4" s="1"/>
  <c r="J114" i="4"/>
  <c r="I114" i="4"/>
  <c r="H114" i="4"/>
  <c r="G114" i="4"/>
  <c r="E114" i="4"/>
  <c r="K114" i="4" s="1"/>
  <c r="J113" i="4"/>
  <c r="G113" i="4"/>
  <c r="E113" i="4"/>
  <c r="K113" i="4" s="1"/>
  <c r="J112" i="4"/>
  <c r="I112" i="4"/>
  <c r="G112" i="4"/>
  <c r="J111" i="4"/>
  <c r="I111" i="4"/>
  <c r="H111" i="4"/>
  <c r="G111" i="4"/>
  <c r="J110" i="4"/>
  <c r="I110" i="4"/>
  <c r="H110" i="4"/>
  <c r="G110" i="4"/>
  <c r="J109" i="4"/>
  <c r="G109" i="4"/>
  <c r="E109" i="4"/>
  <c r="K109" i="4" s="1"/>
  <c r="J108" i="4"/>
  <c r="I108" i="4"/>
  <c r="H108" i="4"/>
  <c r="G108" i="4"/>
  <c r="K107" i="4"/>
  <c r="J107" i="4"/>
  <c r="G107" i="4"/>
  <c r="K106" i="4"/>
  <c r="J106" i="4"/>
  <c r="G106" i="4"/>
  <c r="E106" i="4"/>
  <c r="J105" i="4"/>
  <c r="G105" i="4"/>
  <c r="J104" i="4"/>
  <c r="G104" i="4"/>
  <c r="J103" i="4"/>
  <c r="G103" i="4"/>
  <c r="E103" i="4"/>
  <c r="K103" i="4" s="1"/>
  <c r="J102" i="4"/>
  <c r="I102" i="4"/>
  <c r="G102" i="4"/>
  <c r="J101" i="4"/>
  <c r="I101" i="4"/>
  <c r="H101" i="4"/>
  <c r="G101" i="4"/>
  <c r="J100" i="4"/>
  <c r="I100" i="4"/>
  <c r="G100" i="4"/>
  <c r="J99" i="4"/>
  <c r="G99" i="4"/>
  <c r="E99" i="4"/>
  <c r="K99" i="4" s="1"/>
  <c r="J98" i="4"/>
  <c r="H98" i="4"/>
  <c r="G98" i="4"/>
  <c r="J97" i="4"/>
  <c r="G97" i="4"/>
  <c r="J96" i="4"/>
  <c r="G96" i="4"/>
  <c r="J95" i="4"/>
  <c r="H95" i="4"/>
  <c r="G95" i="4"/>
  <c r="K94" i="4"/>
  <c r="J94" i="4"/>
  <c r="I94" i="4"/>
  <c r="H94" i="4"/>
  <c r="G94" i="4"/>
  <c r="E94" i="4"/>
  <c r="K93" i="4"/>
  <c r="J93" i="4"/>
  <c r="G93" i="4"/>
  <c r="J92" i="4"/>
  <c r="G92" i="4"/>
  <c r="J91" i="4"/>
  <c r="I91" i="4"/>
  <c r="G91" i="4"/>
  <c r="J90" i="4"/>
  <c r="G90" i="4"/>
  <c r="J89" i="4"/>
  <c r="I89" i="4"/>
  <c r="H89" i="4"/>
  <c r="G89" i="4"/>
  <c r="E89" i="4"/>
  <c r="K89" i="4" s="1"/>
  <c r="J88" i="4"/>
  <c r="I88" i="4"/>
  <c r="H88" i="4"/>
  <c r="G88" i="4"/>
  <c r="F88" i="4"/>
  <c r="K87" i="4"/>
  <c r="J87" i="4"/>
  <c r="I87" i="4"/>
  <c r="H87" i="4"/>
  <c r="G87" i="4"/>
  <c r="J86" i="4"/>
  <c r="I86" i="4"/>
  <c r="G86" i="4"/>
  <c r="J85" i="4"/>
  <c r="H85" i="4"/>
  <c r="G85" i="4"/>
  <c r="J84" i="4"/>
  <c r="H84" i="4"/>
  <c r="G84" i="4"/>
  <c r="J83" i="4"/>
  <c r="H83" i="4"/>
  <c r="G83" i="4"/>
  <c r="J82" i="4"/>
  <c r="G82" i="4"/>
  <c r="E82" i="4"/>
  <c r="K82" i="4" s="1"/>
  <c r="J81" i="4"/>
  <c r="I81" i="4"/>
  <c r="H81" i="4"/>
  <c r="G81" i="4"/>
  <c r="J80" i="4"/>
  <c r="G80" i="4"/>
  <c r="K79" i="4"/>
  <c r="J79" i="4"/>
  <c r="G79" i="4"/>
  <c r="J78" i="4"/>
  <c r="G78" i="4"/>
  <c r="J77" i="4"/>
  <c r="I77" i="4"/>
  <c r="H77" i="4"/>
  <c r="G77" i="4"/>
  <c r="J76" i="4"/>
  <c r="I76" i="4"/>
  <c r="H76" i="4"/>
  <c r="G76" i="4"/>
  <c r="J75" i="4"/>
  <c r="I75" i="4"/>
  <c r="G75" i="4"/>
  <c r="J74" i="4"/>
  <c r="I74" i="4"/>
  <c r="H74" i="4"/>
  <c r="G74" i="4"/>
  <c r="E74" i="4"/>
  <c r="K74" i="4" s="1"/>
  <c r="K73" i="4"/>
  <c r="J73" i="4"/>
  <c r="G73" i="4"/>
  <c r="E73" i="4"/>
  <c r="J72" i="4"/>
  <c r="G72" i="4"/>
  <c r="K71" i="4"/>
  <c r="J71" i="4"/>
  <c r="G71" i="4"/>
  <c r="E71" i="4"/>
  <c r="J70" i="4"/>
  <c r="H70" i="4"/>
  <c r="G70" i="4"/>
  <c r="E70" i="4"/>
  <c r="K70" i="4" s="1"/>
  <c r="J69" i="4"/>
  <c r="H69" i="4"/>
  <c r="G69" i="4"/>
  <c r="J68" i="4"/>
  <c r="I68" i="4"/>
  <c r="H68" i="4"/>
  <c r="G68" i="4"/>
  <c r="K67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G64" i="4"/>
  <c r="J63" i="4"/>
  <c r="I63" i="4"/>
  <c r="H63" i="4"/>
  <c r="G63" i="4"/>
  <c r="E63" i="4"/>
  <c r="K63" i="4" s="1"/>
  <c r="K62" i="4"/>
  <c r="J62" i="4"/>
  <c r="G62" i="4"/>
  <c r="K61" i="4"/>
  <c r="J61" i="4"/>
  <c r="G61" i="4"/>
  <c r="E61" i="4"/>
  <c r="J60" i="4"/>
  <c r="H60" i="4"/>
  <c r="G60" i="4"/>
  <c r="J59" i="4"/>
  <c r="G59" i="4"/>
  <c r="E59" i="4"/>
  <c r="K59" i="4" s="1"/>
  <c r="K58" i="4"/>
  <c r="J58" i="4"/>
  <c r="G58" i="4"/>
  <c r="J57" i="4"/>
  <c r="I57" i="4"/>
  <c r="H57" i="4"/>
  <c r="G57" i="4"/>
  <c r="E57" i="4"/>
  <c r="K57" i="4" s="1"/>
  <c r="J56" i="4"/>
  <c r="I56" i="4"/>
  <c r="H56" i="4"/>
  <c r="G56" i="4"/>
  <c r="J55" i="4"/>
  <c r="G55" i="4"/>
  <c r="J54" i="4"/>
  <c r="I54" i="4"/>
  <c r="H54" i="4"/>
  <c r="G54" i="4"/>
  <c r="J53" i="4"/>
  <c r="I53" i="4"/>
  <c r="H53" i="4"/>
  <c r="G53" i="4"/>
  <c r="F53" i="4"/>
  <c r="E53" i="4"/>
  <c r="K53" i="4" s="1"/>
  <c r="J52" i="4"/>
  <c r="H52" i="4"/>
  <c r="G52" i="4"/>
  <c r="K51" i="4"/>
  <c r="J51" i="4"/>
  <c r="G51" i="4"/>
  <c r="J50" i="4"/>
  <c r="G50" i="4"/>
  <c r="J49" i="4"/>
  <c r="G49" i="4"/>
  <c r="J48" i="4"/>
  <c r="I48" i="4"/>
  <c r="H48" i="4"/>
  <c r="G48" i="4"/>
  <c r="K47" i="4"/>
  <c r="J47" i="4"/>
  <c r="I47" i="4"/>
  <c r="H47" i="4"/>
  <c r="G47" i="4"/>
  <c r="J46" i="4"/>
  <c r="G46" i="4"/>
  <c r="J45" i="4"/>
  <c r="I45" i="4"/>
  <c r="H45" i="4"/>
  <c r="G45" i="4"/>
  <c r="J44" i="4"/>
  <c r="I44" i="4"/>
  <c r="H44" i="4"/>
  <c r="G44" i="4"/>
  <c r="J43" i="4"/>
  <c r="G43" i="4"/>
  <c r="J42" i="4"/>
  <c r="I42" i="4"/>
  <c r="H42" i="4"/>
  <c r="G42" i="4"/>
  <c r="J41" i="4"/>
  <c r="G41" i="4"/>
  <c r="E41" i="4"/>
  <c r="J40" i="4"/>
  <c r="I40" i="4"/>
  <c r="H40" i="4"/>
  <c r="G40" i="4"/>
  <c r="J39" i="4"/>
  <c r="H39" i="4"/>
  <c r="G39" i="4"/>
  <c r="E39" i="4"/>
  <c r="J38" i="4"/>
  <c r="I38" i="4"/>
  <c r="H38" i="4"/>
  <c r="G38" i="4"/>
  <c r="E38" i="4"/>
  <c r="K37" i="4"/>
  <c r="J37" i="4"/>
  <c r="G37" i="4"/>
  <c r="J36" i="4"/>
  <c r="I36" i="4"/>
  <c r="G36" i="4"/>
  <c r="J35" i="4"/>
  <c r="G35" i="4"/>
  <c r="E35" i="4"/>
  <c r="J34" i="4"/>
  <c r="G34" i="4"/>
  <c r="E34" i="4"/>
  <c r="K33" i="4"/>
  <c r="J33" i="4"/>
  <c r="H33" i="4"/>
  <c r="G33" i="4"/>
  <c r="J32" i="4"/>
  <c r="I32" i="4"/>
  <c r="G32" i="4"/>
  <c r="J31" i="4"/>
  <c r="H31" i="4"/>
  <c r="G31" i="4"/>
  <c r="J30" i="4"/>
  <c r="G30" i="4"/>
  <c r="E30" i="4"/>
  <c r="K30" i="4" s="1"/>
  <c r="J29" i="4"/>
  <c r="G29" i="4"/>
  <c r="J28" i="4"/>
  <c r="G28" i="4"/>
  <c r="J27" i="4"/>
  <c r="I27" i="4"/>
  <c r="H27" i="4"/>
  <c r="G27" i="4"/>
  <c r="J26" i="4"/>
  <c r="I26" i="4"/>
  <c r="H26" i="4"/>
  <c r="G26" i="4"/>
  <c r="J25" i="4"/>
  <c r="I25" i="4"/>
  <c r="H25" i="4"/>
  <c r="G25" i="4"/>
  <c r="J24" i="4"/>
  <c r="G24" i="4"/>
  <c r="J23" i="4"/>
  <c r="I23" i="4"/>
  <c r="H23" i="4"/>
  <c r="G23" i="4"/>
  <c r="J22" i="4"/>
  <c r="I22" i="4"/>
  <c r="H22" i="4"/>
  <c r="G22" i="4"/>
  <c r="J21" i="4"/>
  <c r="G21" i="4"/>
  <c r="J20" i="4"/>
  <c r="H20" i="4"/>
  <c r="G20" i="4"/>
  <c r="K19" i="4"/>
  <c r="J19" i="4"/>
  <c r="G19" i="4"/>
  <c r="J18" i="4"/>
  <c r="G18" i="4"/>
  <c r="E18" i="4"/>
  <c r="H18" i="5" s="1"/>
  <c r="C18" i="5" s="1"/>
  <c r="J17" i="4"/>
  <c r="G17" i="4"/>
  <c r="J16" i="4"/>
  <c r="G16" i="4"/>
  <c r="J15" i="4"/>
  <c r="G15" i="4"/>
  <c r="J14" i="4"/>
  <c r="H14" i="4"/>
  <c r="G14" i="4"/>
  <c r="E14" i="4"/>
  <c r="K14" i="4" s="1"/>
  <c r="J13" i="4"/>
  <c r="I13" i="4"/>
  <c r="H13" i="4"/>
  <c r="G13" i="4"/>
  <c r="E13" i="4"/>
  <c r="K13" i="4" s="1"/>
  <c r="J12" i="4"/>
  <c r="G12" i="4"/>
  <c r="J11" i="4"/>
  <c r="H11" i="4"/>
  <c r="G11" i="4"/>
  <c r="E11" i="4"/>
  <c r="K11" i="4" s="1"/>
  <c r="J10" i="4"/>
  <c r="G10" i="4"/>
  <c r="K9" i="4"/>
  <c r="J9" i="4"/>
  <c r="G9" i="4"/>
  <c r="E9" i="4"/>
  <c r="J8" i="4"/>
  <c r="G8" i="4"/>
  <c r="J7" i="4"/>
  <c r="G7" i="4"/>
  <c r="F7" i="4"/>
  <c r="E7" i="4"/>
  <c r="K7" i="4" s="1"/>
  <c r="J6" i="4"/>
  <c r="G6" i="4"/>
  <c r="J5" i="4"/>
  <c r="G5" i="4"/>
  <c r="E5" i="4"/>
  <c r="K5" i="4" s="1"/>
  <c r="J4" i="4"/>
  <c r="I4" i="4"/>
  <c r="H4" i="4"/>
  <c r="G4" i="4"/>
  <c r="L16" i="5" s="1"/>
  <c r="F4" i="4"/>
  <c r="K3" i="4"/>
  <c r="J3" i="4"/>
  <c r="G3" i="4"/>
  <c r="J2" i="4"/>
  <c r="H2" i="4"/>
  <c r="G2" i="4"/>
  <c r="A33" i="3"/>
  <c r="A32" i="3"/>
  <c r="B31" i="3"/>
  <c r="A31" i="3"/>
  <c r="B30" i="3"/>
  <c r="A30" i="3"/>
  <c r="A29" i="3"/>
  <c r="A28" i="3"/>
  <c r="A27" i="3"/>
  <c r="B26" i="3"/>
  <c r="A26" i="3"/>
  <c r="B25" i="3"/>
  <c r="A25" i="3"/>
  <c r="G24" i="3"/>
  <c r="A24" i="3"/>
  <c r="G23" i="3"/>
  <c r="A23" i="3"/>
  <c r="G22" i="3"/>
  <c r="A22" i="3"/>
  <c r="G21" i="3"/>
  <c r="B21" i="3"/>
  <c r="A21" i="3"/>
  <c r="G20" i="3"/>
  <c r="A20" i="3"/>
  <c r="G19" i="3"/>
  <c r="A19" i="3"/>
  <c r="G18" i="3"/>
  <c r="G17" i="3"/>
  <c r="G16" i="3"/>
  <c r="G15" i="3"/>
  <c r="G14" i="3"/>
  <c r="G13" i="3"/>
  <c r="B13" i="3"/>
  <c r="G12" i="3"/>
  <c r="D12" i="3"/>
  <c r="G11" i="3"/>
  <c r="G10" i="3"/>
  <c r="G9" i="3"/>
  <c r="G8" i="3"/>
  <c r="G7" i="3"/>
  <c r="J6" i="3"/>
  <c r="B14" i="3" s="1"/>
  <c r="G6" i="3"/>
  <c r="D6" i="3"/>
  <c r="B12" i="3" s="1"/>
  <c r="G5" i="3"/>
  <c r="G4" i="3"/>
  <c r="G3" i="3"/>
  <c r="G2" i="3"/>
  <c r="J406" i="2"/>
  <c r="H406" i="2"/>
  <c r="I406" i="2" s="1"/>
  <c r="F406" i="4" s="1"/>
  <c r="J405" i="2"/>
  <c r="E405" i="4" s="1"/>
  <c r="K405" i="4" s="1"/>
  <c r="H405" i="2"/>
  <c r="I405" i="2" s="1"/>
  <c r="J404" i="2"/>
  <c r="E404" i="4" s="1"/>
  <c r="K404" i="4" s="1"/>
  <c r="H404" i="2"/>
  <c r="I404" i="2" s="1"/>
  <c r="F404" i="4" s="1"/>
  <c r="J403" i="2"/>
  <c r="E403" i="4" s="1"/>
  <c r="K403" i="4" s="1"/>
  <c r="H403" i="2"/>
  <c r="I403" i="2" s="1"/>
  <c r="F403" i="4" s="1"/>
  <c r="J402" i="2"/>
  <c r="H402" i="2"/>
  <c r="I402" i="2" s="1"/>
  <c r="F402" i="4" s="1"/>
  <c r="J401" i="2"/>
  <c r="E401" i="4" s="1"/>
  <c r="K401" i="4" s="1"/>
  <c r="H401" i="2"/>
  <c r="I401" i="2" s="1"/>
  <c r="F401" i="4" s="1"/>
  <c r="J400" i="2"/>
  <c r="H400" i="2"/>
  <c r="I400" i="2" s="1"/>
  <c r="F400" i="4" s="1"/>
  <c r="J399" i="2"/>
  <c r="E399" i="4" s="1"/>
  <c r="K399" i="4" s="1"/>
  <c r="I399" i="2"/>
  <c r="F399" i="4" s="1"/>
  <c r="H399" i="2"/>
  <c r="J398" i="2"/>
  <c r="E398" i="4" s="1"/>
  <c r="K398" i="4" s="1"/>
  <c r="H398" i="2"/>
  <c r="I398" i="2" s="1"/>
  <c r="F398" i="4" s="1"/>
  <c r="J397" i="2"/>
  <c r="E397" i="4" s="1"/>
  <c r="H397" i="2"/>
  <c r="I397" i="2" s="1"/>
  <c r="F397" i="4" s="1"/>
  <c r="J396" i="2"/>
  <c r="H396" i="2"/>
  <c r="I396" i="2" s="1"/>
  <c r="F396" i="4" s="1"/>
  <c r="J395" i="2"/>
  <c r="E395" i="4" s="1"/>
  <c r="K395" i="4" s="1"/>
  <c r="H395" i="2"/>
  <c r="I395" i="2" s="1"/>
  <c r="F395" i="4" s="1"/>
  <c r="J394" i="2"/>
  <c r="E394" i="4" s="1"/>
  <c r="H394" i="2"/>
  <c r="I394" i="2" s="1"/>
  <c r="F394" i="4" s="1"/>
  <c r="J393" i="2"/>
  <c r="E393" i="4" s="1"/>
  <c r="K393" i="4" s="1"/>
  <c r="H393" i="2"/>
  <c r="I393" i="2" s="1"/>
  <c r="F393" i="4" s="1"/>
  <c r="J392" i="2"/>
  <c r="E392" i="4" s="1"/>
  <c r="K392" i="4" s="1"/>
  <c r="H392" i="2"/>
  <c r="I392" i="2" s="1"/>
  <c r="F392" i="4" s="1"/>
  <c r="J391" i="2"/>
  <c r="E391" i="4" s="1"/>
  <c r="K391" i="4" s="1"/>
  <c r="H391" i="2"/>
  <c r="I391" i="2" s="1"/>
  <c r="F391" i="4" s="1"/>
  <c r="J390" i="2"/>
  <c r="E390" i="4" s="1"/>
  <c r="H390" i="2"/>
  <c r="I390" i="2" s="1"/>
  <c r="F390" i="4" s="1"/>
  <c r="J389" i="2"/>
  <c r="E389" i="4" s="1"/>
  <c r="K389" i="4" s="1"/>
  <c r="H389" i="2"/>
  <c r="I389" i="2" s="1"/>
  <c r="F389" i="4" s="1"/>
  <c r="J388" i="2"/>
  <c r="E388" i="4" s="1"/>
  <c r="K388" i="4" s="1"/>
  <c r="H388" i="2"/>
  <c r="I388" i="2" s="1"/>
  <c r="F388" i="4" s="1"/>
  <c r="J387" i="2"/>
  <c r="E387" i="4" s="1"/>
  <c r="K387" i="4" s="1"/>
  <c r="H387" i="2"/>
  <c r="I387" i="2" s="1"/>
  <c r="F387" i="4" s="1"/>
  <c r="J386" i="2"/>
  <c r="H386" i="2"/>
  <c r="I386" i="2" s="1"/>
  <c r="F386" i="4" s="1"/>
  <c r="J385" i="2"/>
  <c r="E385" i="4" s="1"/>
  <c r="K385" i="4" s="1"/>
  <c r="H385" i="2"/>
  <c r="I385" i="2" s="1"/>
  <c r="F385" i="4" s="1"/>
  <c r="J384" i="2"/>
  <c r="E384" i="4" s="1"/>
  <c r="K384" i="4" s="1"/>
  <c r="H384" i="2"/>
  <c r="I384" i="2" s="1"/>
  <c r="F384" i="4" s="1"/>
  <c r="J383" i="2"/>
  <c r="E383" i="4" s="1"/>
  <c r="K383" i="4" s="1"/>
  <c r="H383" i="2"/>
  <c r="I383" i="2" s="1"/>
  <c r="F383" i="4" s="1"/>
  <c r="J382" i="2"/>
  <c r="E382" i="4" s="1"/>
  <c r="K382" i="4" s="1"/>
  <c r="H382" i="2"/>
  <c r="I382" i="2" s="1"/>
  <c r="F382" i="4" s="1"/>
  <c r="J381" i="2"/>
  <c r="E381" i="4" s="1"/>
  <c r="K381" i="4" s="1"/>
  <c r="I381" i="2"/>
  <c r="F381" i="4" s="1"/>
  <c r="H381" i="2"/>
  <c r="J380" i="2"/>
  <c r="H380" i="2"/>
  <c r="I380" i="2" s="1"/>
  <c r="F380" i="4" s="1"/>
  <c r="J379" i="2"/>
  <c r="E379" i="4" s="1"/>
  <c r="K379" i="4" s="1"/>
  <c r="H379" i="2"/>
  <c r="I379" i="2" s="1"/>
  <c r="F379" i="4" s="1"/>
  <c r="J378" i="2"/>
  <c r="E378" i="4" s="1"/>
  <c r="K378" i="4" s="1"/>
  <c r="H378" i="2"/>
  <c r="I378" i="2" s="1"/>
  <c r="F378" i="4" s="1"/>
  <c r="J377" i="2"/>
  <c r="E377" i="4" s="1"/>
  <c r="H377" i="2"/>
  <c r="I377" i="2" s="1"/>
  <c r="F377" i="4" s="1"/>
  <c r="J376" i="2"/>
  <c r="E376" i="4" s="1"/>
  <c r="K376" i="4" s="1"/>
  <c r="H376" i="2"/>
  <c r="I376" i="2" s="1"/>
  <c r="F376" i="4" s="1"/>
  <c r="J375" i="2"/>
  <c r="E375" i="4" s="1"/>
  <c r="K375" i="4" s="1"/>
  <c r="H375" i="2"/>
  <c r="I375" i="2" s="1"/>
  <c r="F375" i="4" s="1"/>
  <c r="J374" i="2"/>
  <c r="E374" i="4" s="1"/>
  <c r="K374" i="4" s="1"/>
  <c r="H374" i="2"/>
  <c r="I374" i="2" s="1"/>
  <c r="F374" i="4" s="1"/>
  <c r="J373" i="2"/>
  <c r="E373" i="4" s="1"/>
  <c r="K373" i="4" s="1"/>
  <c r="H373" i="2"/>
  <c r="I373" i="2" s="1"/>
  <c r="F373" i="4" s="1"/>
  <c r="J372" i="2"/>
  <c r="E372" i="4" s="1"/>
  <c r="K372" i="4" s="1"/>
  <c r="H372" i="2"/>
  <c r="I372" i="2" s="1"/>
  <c r="F372" i="4" s="1"/>
  <c r="J371" i="2"/>
  <c r="E371" i="4" s="1"/>
  <c r="H371" i="2"/>
  <c r="I371" i="2" s="1"/>
  <c r="F371" i="4" s="1"/>
  <c r="J370" i="2"/>
  <c r="E370" i="4" s="1"/>
  <c r="K370" i="4" s="1"/>
  <c r="H370" i="2"/>
  <c r="I370" i="2" s="1"/>
  <c r="F370" i="4" s="1"/>
  <c r="J369" i="2"/>
  <c r="E369" i="4" s="1"/>
  <c r="K369" i="4" s="1"/>
  <c r="H369" i="2"/>
  <c r="I369" i="2" s="1"/>
  <c r="F369" i="4" s="1"/>
  <c r="J368" i="2"/>
  <c r="E368" i="4" s="1"/>
  <c r="K368" i="4" s="1"/>
  <c r="H368" i="2"/>
  <c r="I368" i="2" s="1"/>
  <c r="F368" i="4" s="1"/>
  <c r="J367" i="2"/>
  <c r="E367" i="4" s="1"/>
  <c r="K367" i="4" s="1"/>
  <c r="H367" i="2"/>
  <c r="I367" i="2" s="1"/>
  <c r="F367" i="4" s="1"/>
  <c r="J366" i="2"/>
  <c r="H366" i="2"/>
  <c r="I366" i="2" s="1"/>
  <c r="F366" i="4" s="1"/>
  <c r="J365" i="2"/>
  <c r="E365" i="4" s="1"/>
  <c r="K365" i="4" s="1"/>
  <c r="H365" i="2"/>
  <c r="I365" i="2" s="1"/>
  <c r="F365" i="4" s="1"/>
  <c r="J364" i="2"/>
  <c r="E364" i="4" s="1"/>
  <c r="K364" i="4" s="1"/>
  <c r="H364" i="2"/>
  <c r="I364" i="2" s="1"/>
  <c r="F364" i="4" s="1"/>
  <c r="J363" i="2"/>
  <c r="E363" i="4" s="1"/>
  <c r="K363" i="4" s="1"/>
  <c r="H363" i="2"/>
  <c r="I363" i="2" s="1"/>
  <c r="F363" i="4" s="1"/>
  <c r="J362" i="2"/>
  <c r="H362" i="2"/>
  <c r="I362" i="2" s="1"/>
  <c r="J361" i="2"/>
  <c r="E361" i="4" s="1"/>
  <c r="H361" i="2"/>
  <c r="I361" i="2" s="1"/>
  <c r="F361" i="4" s="1"/>
  <c r="J360" i="2"/>
  <c r="E360" i="4" s="1"/>
  <c r="K360" i="4" s="1"/>
  <c r="H360" i="2"/>
  <c r="I360" i="2" s="1"/>
  <c r="F360" i="4" s="1"/>
  <c r="J359" i="2"/>
  <c r="E359" i="4" s="1"/>
  <c r="K359" i="4" s="1"/>
  <c r="H359" i="2"/>
  <c r="I359" i="2" s="1"/>
  <c r="F359" i="4" s="1"/>
  <c r="J358" i="2"/>
  <c r="H358" i="2"/>
  <c r="I358" i="2" s="1"/>
  <c r="F358" i="4" s="1"/>
  <c r="J357" i="2"/>
  <c r="E357" i="4" s="1"/>
  <c r="H357" i="2"/>
  <c r="I357" i="2" s="1"/>
  <c r="F357" i="4" s="1"/>
  <c r="J356" i="2"/>
  <c r="E356" i="4" s="1"/>
  <c r="H356" i="2"/>
  <c r="I356" i="2" s="1"/>
  <c r="F356" i="4" s="1"/>
  <c r="J355" i="2"/>
  <c r="E355" i="4" s="1"/>
  <c r="K355" i="4" s="1"/>
  <c r="H355" i="2"/>
  <c r="I355" i="2" s="1"/>
  <c r="F355" i="4" s="1"/>
  <c r="J354" i="2"/>
  <c r="E354" i="4" s="1"/>
  <c r="K354" i="4" s="1"/>
  <c r="H354" i="2"/>
  <c r="I354" i="2" s="1"/>
  <c r="F354" i="4" s="1"/>
  <c r="J353" i="2"/>
  <c r="E353" i="4" s="1"/>
  <c r="K353" i="4" s="1"/>
  <c r="H353" i="2"/>
  <c r="I353" i="2" s="1"/>
  <c r="F353" i="4" s="1"/>
  <c r="J352" i="2"/>
  <c r="E352" i="4" s="1"/>
  <c r="H352" i="2"/>
  <c r="I352" i="2" s="1"/>
  <c r="F352" i="4" s="1"/>
  <c r="J351" i="2"/>
  <c r="E351" i="4" s="1"/>
  <c r="H351" i="2"/>
  <c r="I351" i="2" s="1"/>
  <c r="F351" i="4" s="1"/>
  <c r="J350" i="2"/>
  <c r="E350" i="4" s="1"/>
  <c r="H350" i="2"/>
  <c r="I350" i="2" s="1"/>
  <c r="F350" i="4" s="1"/>
  <c r="J349" i="2"/>
  <c r="E349" i="4" s="1"/>
  <c r="K349" i="4" s="1"/>
  <c r="H349" i="2"/>
  <c r="I349" i="2" s="1"/>
  <c r="F349" i="4" s="1"/>
  <c r="J348" i="2"/>
  <c r="E348" i="4" s="1"/>
  <c r="K348" i="4" s="1"/>
  <c r="H348" i="2"/>
  <c r="I348" i="2" s="1"/>
  <c r="F348" i="4" s="1"/>
  <c r="J347" i="2"/>
  <c r="E347" i="4" s="1"/>
  <c r="H347" i="2"/>
  <c r="I347" i="2" s="1"/>
  <c r="F347" i="4" s="1"/>
  <c r="J346" i="2"/>
  <c r="E346" i="4" s="1"/>
  <c r="H346" i="2"/>
  <c r="I346" i="2" s="1"/>
  <c r="F346" i="4" s="1"/>
  <c r="J345" i="2"/>
  <c r="E345" i="4" s="1"/>
  <c r="K345" i="4" s="1"/>
  <c r="H345" i="2"/>
  <c r="I345" i="2" s="1"/>
  <c r="F345" i="4" s="1"/>
  <c r="J344" i="2"/>
  <c r="E344" i="4" s="1"/>
  <c r="K344" i="4" s="1"/>
  <c r="H344" i="2"/>
  <c r="I344" i="2" s="1"/>
  <c r="F344" i="4" s="1"/>
  <c r="J343" i="2"/>
  <c r="E343" i="4" s="1"/>
  <c r="H343" i="2"/>
  <c r="I343" i="2" s="1"/>
  <c r="F343" i="4" s="1"/>
  <c r="J342" i="2"/>
  <c r="E342" i="4" s="1"/>
  <c r="K342" i="4" s="1"/>
  <c r="H342" i="2"/>
  <c r="I342" i="2" s="1"/>
  <c r="F342" i="4" s="1"/>
  <c r="J341" i="2"/>
  <c r="E341" i="4" s="1"/>
  <c r="K341" i="4" s="1"/>
  <c r="H341" i="2"/>
  <c r="I341" i="2" s="1"/>
  <c r="F341" i="4" s="1"/>
  <c r="J340" i="2"/>
  <c r="H340" i="2"/>
  <c r="I340" i="2" s="1"/>
  <c r="F340" i="4" s="1"/>
  <c r="J339" i="2"/>
  <c r="E339" i="4" s="1"/>
  <c r="K339" i="4" s="1"/>
  <c r="H339" i="2"/>
  <c r="I339" i="2" s="1"/>
  <c r="F339" i="4" s="1"/>
  <c r="J338" i="2"/>
  <c r="H338" i="2"/>
  <c r="I338" i="2" s="1"/>
  <c r="F338" i="4" s="1"/>
  <c r="J337" i="2"/>
  <c r="E337" i="4" s="1"/>
  <c r="K337" i="4" s="1"/>
  <c r="H337" i="2"/>
  <c r="I337" i="2" s="1"/>
  <c r="F337" i="4" s="1"/>
  <c r="J336" i="2"/>
  <c r="H336" i="2"/>
  <c r="I336" i="2" s="1"/>
  <c r="F336" i="4" s="1"/>
  <c r="J335" i="2"/>
  <c r="E335" i="4" s="1"/>
  <c r="H335" i="2"/>
  <c r="I335" i="2" s="1"/>
  <c r="F335" i="4" s="1"/>
  <c r="J334" i="2"/>
  <c r="E334" i="4" s="1"/>
  <c r="H334" i="2"/>
  <c r="I334" i="2" s="1"/>
  <c r="F334" i="4" s="1"/>
  <c r="J333" i="2"/>
  <c r="E333" i="4" s="1"/>
  <c r="K333" i="4" s="1"/>
  <c r="H333" i="2"/>
  <c r="I333" i="2" s="1"/>
  <c r="F333" i="4" s="1"/>
  <c r="J332" i="2"/>
  <c r="E332" i="4" s="1"/>
  <c r="K332" i="4" s="1"/>
  <c r="H332" i="2"/>
  <c r="I332" i="2" s="1"/>
  <c r="F332" i="4" s="1"/>
  <c r="J331" i="2"/>
  <c r="E331" i="4" s="1"/>
  <c r="K331" i="4" s="1"/>
  <c r="I331" i="2"/>
  <c r="F331" i="4" s="1"/>
  <c r="H331" i="2"/>
  <c r="J330" i="2"/>
  <c r="H330" i="2"/>
  <c r="I330" i="2" s="1"/>
  <c r="F330" i="4" s="1"/>
  <c r="J329" i="2"/>
  <c r="E329" i="4" s="1"/>
  <c r="K329" i="4" s="1"/>
  <c r="I329" i="4"/>
  <c r="H329" i="2"/>
  <c r="I329" i="2" s="1"/>
  <c r="F329" i="4" s="1"/>
  <c r="J328" i="2"/>
  <c r="E328" i="4" s="1"/>
  <c r="K328" i="4" s="1"/>
  <c r="I328" i="4"/>
  <c r="H328" i="4"/>
  <c r="J327" i="2"/>
  <c r="E327" i="4" s="1"/>
  <c r="K327" i="4" s="1"/>
  <c r="I327" i="4"/>
  <c r="H327" i="4"/>
  <c r="J326" i="2"/>
  <c r="I326" i="4"/>
  <c r="J325" i="2"/>
  <c r="E325" i="4" s="1"/>
  <c r="H325" i="2"/>
  <c r="I325" i="2" s="1"/>
  <c r="F325" i="4" s="1"/>
  <c r="I325" i="4"/>
  <c r="J324" i="2"/>
  <c r="H324" i="2"/>
  <c r="I324" i="2" s="1"/>
  <c r="F324" i="4" s="1"/>
  <c r="H324" i="4"/>
  <c r="J323" i="2"/>
  <c r="E323" i="4" s="1"/>
  <c r="I323" i="4"/>
  <c r="J322" i="2"/>
  <c r="E322" i="4" s="1"/>
  <c r="K322" i="4" s="1"/>
  <c r="I322" i="4"/>
  <c r="J321" i="2"/>
  <c r="E321" i="4" s="1"/>
  <c r="K321" i="4" s="1"/>
  <c r="H321" i="2"/>
  <c r="I321" i="2" s="1"/>
  <c r="F321" i="4" s="1"/>
  <c r="J320" i="2"/>
  <c r="H320" i="2"/>
  <c r="I320" i="2" s="1"/>
  <c r="F320" i="4" s="1"/>
  <c r="H320" i="4"/>
  <c r="J319" i="2"/>
  <c r="E319" i="4" s="1"/>
  <c r="J318" i="2"/>
  <c r="E318" i="4" s="1"/>
  <c r="K318" i="4" s="1"/>
  <c r="I318" i="4"/>
  <c r="H318" i="4"/>
  <c r="J317" i="2"/>
  <c r="E317" i="4" s="1"/>
  <c r="K317" i="4" s="1"/>
  <c r="H317" i="2"/>
  <c r="I317" i="2" s="1"/>
  <c r="F317" i="4" s="1"/>
  <c r="J316" i="2"/>
  <c r="I316" i="4"/>
  <c r="H316" i="4"/>
  <c r="J315" i="2"/>
  <c r="E315" i="4" s="1"/>
  <c r="K315" i="4" s="1"/>
  <c r="H315" i="2"/>
  <c r="I315" i="2" s="1"/>
  <c r="F315" i="4" s="1"/>
  <c r="J314" i="2"/>
  <c r="E314" i="4" s="1"/>
  <c r="K314" i="4" s="1"/>
  <c r="H314" i="2"/>
  <c r="I314" i="2" s="1"/>
  <c r="F314" i="4" s="1"/>
  <c r="I314" i="4"/>
  <c r="J313" i="2"/>
  <c r="E313" i="4" s="1"/>
  <c r="K313" i="4" s="1"/>
  <c r="I313" i="4"/>
  <c r="H313" i="4"/>
  <c r="J312" i="2"/>
  <c r="H312" i="2"/>
  <c r="I312" i="2" s="1"/>
  <c r="F312" i="4" s="1"/>
  <c r="I312" i="4"/>
  <c r="J311" i="2"/>
  <c r="E311" i="4" s="1"/>
  <c r="H311" i="2"/>
  <c r="I311" i="2" s="1"/>
  <c r="F311" i="4" s="1"/>
  <c r="J310" i="2"/>
  <c r="E310" i="4" s="1"/>
  <c r="K310" i="4" s="1"/>
  <c r="H310" i="2"/>
  <c r="I310" i="2" s="1"/>
  <c r="F310" i="4" s="1"/>
  <c r="I310" i="4"/>
  <c r="H310" i="4"/>
  <c r="J309" i="2"/>
  <c r="E309" i="4" s="1"/>
  <c r="K309" i="4" s="1"/>
  <c r="H309" i="2"/>
  <c r="I309" i="2" s="1"/>
  <c r="F309" i="4" s="1"/>
  <c r="J308" i="2"/>
  <c r="H308" i="2"/>
  <c r="I308" i="2" s="1"/>
  <c r="F308" i="4" s="1"/>
  <c r="J307" i="2"/>
  <c r="E307" i="4" s="1"/>
  <c r="J306" i="2"/>
  <c r="I306" i="4"/>
  <c r="H306" i="2"/>
  <c r="I306" i="2" s="1"/>
  <c r="F306" i="4" s="1"/>
  <c r="J305" i="2"/>
  <c r="E305" i="4" s="1"/>
  <c r="I305" i="4"/>
  <c r="H305" i="2"/>
  <c r="I305" i="2" s="1"/>
  <c r="F305" i="4" s="1"/>
  <c r="J304" i="2"/>
  <c r="E304" i="4" s="1"/>
  <c r="K304" i="4" s="1"/>
  <c r="H304" i="2"/>
  <c r="I304" i="2" s="1"/>
  <c r="F304" i="4" s="1"/>
  <c r="I304" i="4"/>
  <c r="H304" i="4"/>
  <c r="J303" i="2"/>
  <c r="E303" i="4" s="1"/>
  <c r="K303" i="4" s="1"/>
  <c r="I303" i="4"/>
  <c r="H303" i="4"/>
  <c r="J302" i="2"/>
  <c r="E302" i="4" s="1"/>
  <c r="H302" i="2"/>
  <c r="I302" i="2" s="1"/>
  <c r="F302" i="4" s="1"/>
  <c r="I302" i="4"/>
  <c r="J301" i="2"/>
  <c r="E301" i="4" s="1"/>
  <c r="I301" i="4"/>
  <c r="J300" i="2"/>
  <c r="E300" i="4" s="1"/>
  <c r="K300" i="4" s="1"/>
  <c r="I300" i="4"/>
  <c r="H300" i="4"/>
  <c r="J299" i="2"/>
  <c r="E299" i="4" s="1"/>
  <c r="K299" i="4" s="1"/>
  <c r="I299" i="4"/>
  <c r="J298" i="2"/>
  <c r="E298" i="4" s="1"/>
  <c r="I298" i="4"/>
  <c r="H298" i="2"/>
  <c r="I298" i="2" s="1"/>
  <c r="F298" i="4" s="1"/>
  <c r="J297" i="2"/>
  <c r="E297" i="4" s="1"/>
  <c r="H297" i="2"/>
  <c r="I297" i="2" s="1"/>
  <c r="F297" i="4" s="1"/>
  <c r="I297" i="4"/>
  <c r="H297" i="4"/>
  <c r="J296" i="2"/>
  <c r="E296" i="4" s="1"/>
  <c r="K296" i="4" s="1"/>
  <c r="H296" i="2"/>
  <c r="I296" i="2" s="1"/>
  <c r="F296" i="4" s="1"/>
  <c r="J295" i="2"/>
  <c r="E295" i="4" s="1"/>
  <c r="I295" i="4"/>
  <c r="J294" i="2"/>
  <c r="E294" i="4" s="1"/>
  <c r="K294" i="4" s="1"/>
  <c r="H294" i="4"/>
  <c r="J293" i="2"/>
  <c r="E293" i="4" s="1"/>
  <c r="K293" i="4" s="1"/>
  <c r="H293" i="2"/>
  <c r="I293" i="2" s="1"/>
  <c r="F293" i="4" s="1"/>
  <c r="I293" i="4"/>
  <c r="J292" i="2"/>
  <c r="E292" i="4" s="1"/>
  <c r="I292" i="4"/>
  <c r="H292" i="4"/>
  <c r="J291" i="2"/>
  <c r="E291" i="4" s="1"/>
  <c r="I291" i="4"/>
  <c r="H291" i="4"/>
  <c r="J290" i="2"/>
  <c r="E290" i="4" s="1"/>
  <c r="K290" i="4" s="1"/>
  <c r="I290" i="4"/>
  <c r="J289" i="2"/>
  <c r="E289" i="4" s="1"/>
  <c r="K289" i="4" s="1"/>
  <c r="H289" i="2"/>
  <c r="I289" i="2" s="1"/>
  <c r="F289" i="4" s="1"/>
  <c r="J288" i="2"/>
  <c r="E288" i="4" s="1"/>
  <c r="K288" i="4" s="1"/>
  <c r="I288" i="4"/>
  <c r="H288" i="4"/>
  <c r="J287" i="2"/>
  <c r="E287" i="4" s="1"/>
  <c r="K287" i="4" s="1"/>
  <c r="H287" i="2"/>
  <c r="I287" i="2" s="1"/>
  <c r="F287" i="4" s="1"/>
  <c r="J286" i="2"/>
  <c r="E286" i="4" s="1"/>
  <c r="H286" i="2"/>
  <c r="I286" i="2" s="1"/>
  <c r="F286" i="4" s="1"/>
  <c r="J285" i="2"/>
  <c r="E285" i="4" s="1"/>
  <c r="I285" i="4"/>
  <c r="H285" i="4"/>
  <c r="J284" i="2"/>
  <c r="H284" i="2"/>
  <c r="I284" i="2" s="1"/>
  <c r="F284" i="4" s="1"/>
  <c r="J283" i="2"/>
  <c r="E283" i="4" s="1"/>
  <c r="K283" i="4" s="1"/>
  <c r="H283" i="2"/>
  <c r="I283" i="2" s="1"/>
  <c r="F283" i="4" s="1"/>
  <c r="H283" i="4"/>
  <c r="J282" i="2"/>
  <c r="E282" i="4" s="1"/>
  <c r="K282" i="4" s="1"/>
  <c r="I282" i="4"/>
  <c r="H282" i="4"/>
  <c r="J281" i="2"/>
  <c r="E281" i="4" s="1"/>
  <c r="K281" i="4" s="1"/>
  <c r="H281" i="2"/>
  <c r="I281" i="2" s="1"/>
  <c r="F281" i="4" s="1"/>
  <c r="I281" i="4"/>
  <c r="H281" i="4"/>
  <c r="J280" i="2"/>
  <c r="I280" i="4"/>
  <c r="J279" i="2"/>
  <c r="E279" i="4" s="1"/>
  <c r="K279" i="4" s="1"/>
  <c r="I279" i="4"/>
  <c r="H279" i="4"/>
  <c r="J278" i="2"/>
  <c r="E278" i="4" s="1"/>
  <c r="K278" i="4" s="1"/>
  <c r="I278" i="4"/>
  <c r="J277" i="2"/>
  <c r="E277" i="4" s="1"/>
  <c r="K277" i="4" s="1"/>
  <c r="H277" i="2"/>
  <c r="I277" i="2" s="1"/>
  <c r="F277" i="4" s="1"/>
  <c r="J276" i="2"/>
  <c r="E276" i="4" s="1"/>
  <c r="K276" i="4" s="1"/>
  <c r="I276" i="4"/>
  <c r="H276" i="4"/>
  <c r="J275" i="2"/>
  <c r="E275" i="4" s="1"/>
  <c r="K275" i="4" s="1"/>
  <c r="H275" i="2"/>
  <c r="I275" i="2" s="1"/>
  <c r="F275" i="4" s="1"/>
  <c r="J274" i="2"/>
  <c r="I274" i="4"/>
  <c r="H274" i="2"/>
  <c r="I274" i="2" s="1"/>
  <c r="F274" i="4" s="1"/>
  <c r="J273" i="2"/>
  <c r="E273" i="4" s="1"/>
  <c r="K273" i="4" s="1"/>
  <c r="I273" i="4"/>
  <c r="H273" i="4"/>
  <c r="J272" i="2"/>
  <c r="I272" i="4"/>
  <c r="H272" i="4"/>
  <c r="J271" i="2"/>
  <c r="E271" i="4" s="1"/>
  <c r="I271" i="4"/>
  <c r="J270" i="2"/>
  <c r="E270" i="4" s="1"/>
  <c r="K270" i="4" s="1"/>
  <c r="I270" i="4"/>
  <c r="H270" i="2"/>
  <c r="I270" i="2" s="1"/>
  <c r="F270" i="4" s="1"/>
  <c r="J269" i="2"/>
  <c r="E269" i="4" s="1"/>
  <c r="K269" i="4" s="1"/>
  <c r="H269" i="2"/>
  <c r="I269" i="2" s="1"/>
  <c r="F269" i="4" s="1"/>
  <c r="J268" i="2"/>
  <c r="E268" i="4" s="1"/>
  <c r="I268" i="4"/>
  <c r="H268" i="2"/>
  <c r="I268" i="2" s="1"/>
  <c r="F268" i="4" s="1"/>
  <c r="J267" i="2"/>
  <c r="E267" i="4" s="1"/>
  <c r="K267" i="4" s="1"/>
  <c r="I267" i="4"/>
  <c r="H267" i="2"/>
  <c r="I267" i="2" s="1"/>
  <c r="F267" i="4" s="1"/>
  <c r="J266" i="2"/>
  <c r="E266" i="4" s="1"/>
  <c r="K266" i="4" s="1"/>
  <c r="I266" i="4"/>
  <c r="J265" i="2"/>
  <c r="E265" i="4" s="1"/>
  <c r="K265" i="4" s="1"/>
  <c r="H265" i="2"/>
  <c r="I265" i="2" s="1"/>
  <c r="F265" i="4" s="1"/>
  <c r="J264" i="2"/>
  <c r="E264" i="4" s="1"/>
  <c r="H264" i="2"/>
  <c r="I264" i="2" s="1"/>
  <c r="F264" i="4" s="1"/>
  <c r="J263" i="2"/>
  <c r="E263" i="4" s="1"/>
  <c r="K263" i="4" s="1"/>
  <c r="H263" i="2"/>
  <c r="I263" i="2" s="1"/>
  <c r="F263" i="4" s="1"/>
  <c r="J262" i="2"/>
  <c r="E262" i="4" s="1"/>
  <c r="K262" i="4" s="1"/>
  <c r="H262" i="4"/>
  <c r="J261" i="2"/>
  <c r="E261" i="4" s="1"/>
  <c r="K261" i="4" s="1"/>
  <c r="I261" i="4"/>
  <c r="H261" i="4"/>
  <c r="J260" i="2"/>
  <c r="E260" i="4" s="1"/>
  <c r="I260" i="4"/>
  <c r="H260" i="4"/>
  <c r="J259" i="2"/>
  <c r="E259" i="4" s="1"/>
  <c r="K259" i="4" s="1"/>
  <c r="J258" i="2"/>
  <c r="E258" i="4" s="1"/>
  <c r="K258" i="4" s="1"/>
  <c r="H258" i="2"/>
  <c r="I258" i="2" s="1"/>
  <c r="F258" i="4" s="1"/>
  <c r="I258" i="4"/>
  <c r="J257" i="2"/>
  <c r="E257" i="4" s="1"/>
  <c r="I257" i="4"/>
  <c r="H257" i="4"/>
  <c r="J256" i="2"/>
  <c r="E256" i="4" s="1"/>
  <c r="K256" i="4" s="1"/>
  <c r="H256" i="4"/>
  <c r="J255" i="2"/>
  <c r="E255" i="4" s="1"/>
  <c r="K255" i="4" s="1"/>
  <c r="I255" i="4"/>
  <c r="H255" i="4"/>
  <c r="J254" i="2"/>
  <c r="E254" i="4" s="1"/>
  <c r="K254" i="4" s="1"/>
  <c r="H254" i="2"/>
  <c r="I254" i="2" s="1"/>
  <c r="F254" i="4" s="1"/>
  <c r="I254" i="4"/>
  <c r="H254" i="4"/>
  <c r="J253" i="2"/>
  <c r="E253" i="4" s="1"/>
  <c r="I253" i="4"/>
  <c r="J252" i="2"/>
  <c r="E252" i="4" s="1"/>
  <c r="K252" i="4" s="1"/>
  <c r="I252" i="4"/>
  <c r="H252" i="4"/>
  <c r="J251" i="2"/>
  <c r="E251" i="4" s="1"/>
  <c r="J250" i="2"/>
  <c r="I250" i="4"/>
  <c r="J249" i="2"/>
  <c r="E249" i="4" s="1"/>
  <c r="K249" i="4" s="1"/>
  <c r="H249" i="2"/>
  <c r="I249" i="2" s="1"/>
  <c r="F249" i="4" s="1"/>
  <c r="J248" i="2"/>
  <c r="E248" i="4" s="1"/>
  <c r="K248" i="4" s="1"/>
  <c r="H248" i="2"/>
  <c r="I248" i="2" s="1"/>
  <c r="F248" i="4" s="1"/>
  <c r="J247" i="2"/>
  <c r="E247" i="4" s="1"/>
  <c r="K247" i="4" s="1"/>
  <c r="J246" i="2"/>
  <c r="H246" i="2"/>
  <c r="I246" i="2" s="1"/>
  <c r="F246" i="4" s="1"/>
  <c r="I246" i="4"/>
  <c r="J245" i="2"/>
  <c r="E245" i="4" s="1"/>
  <c r="K245" i="4" s="1"/>
  <c r="I245" i="4"/>
  <c r="H245" i="4"/>
  <c r="J244" i="2"/>
  <c r="E244" i="4" s="1"/>
  <c r="K244" i="4" s="1"/>
  <c r="H244" i="4"/>
  <c r="J243" i="2"/>
  <c r="E243" i="4" s="1"/>
  <c r="K243" i="4" s="1"/>
  <c r="H243" i="2"/>
  <c r="I243" i="2" s="1"/>
  <c r="F243" i="4" s="1"/>
  <c r="J242" i="2"/>
  <c r="H242" i="2"/>
  <c r="I242" i="2" s="1"/>
  <c r="F242" i="4" s="1"/>
  <c r="J241" i="2"/>
  <c r="E241" i="4" s="1"/>
  <c r="I241" i="4"/>
  <c r="H241" i="4"/>
  <c r="J240" i="2"/>
  <c r="H240" i="2"/>
  <c r="I240" i="2" s="1"/>
  <c r="F240" i="4" s="1"/>
  <c r="I240" i="4"/>
  <c r="H240" i="4"/>
  <c r="J239" i="2"/>
  <c r="E239" i="4" s="1"/>
  <c r="K239" i="4" s="1"/>
  <c r="I239" i="4"/>
  <c r="J238" i="2"/>
  <c r="E238" i="4" s="1"/>
  <c r="K238" i="4" s="1"/>
  <c r="I238" i="4"/>
  <c r="H238" i="4"/>
  <c r="J237" i="2"/>
  <c r="E237" i="4" s="1"/>
  <c r="K237" i="4" s="1"/>
  <c r="H237" i="2"/>
  <c r="I237" i="2" s="1"/>
  <c r="F237" i="4" s="1"/>
  <c r="J236" i="2"/>
  <c r="H236" i="2"/>
  <c r="I236" i="2" s="1"/>
  <c r="F236" i="4" s="1"/>
  <c r="I236" i="4"/>
  <c r="J235" i="2"/>
  <c r="E235" i="4" s="1"/>
  <c r="K235" i="4" s="1"/>
  <c r="I235" i="4"/>
  <c r="H235" i="4"/>
  <c r="J234" i="2"/>
  <c r="E234" i="4" s="1"/>
  <c r="K234" i="4" s="1"/>
  <c r="H234" i="2"/>
  <c r="I234" i="2" s="1"/>
  <c r="F234" i="4" s="1"/>
  <c r="I234" i="4"/>
  <c r="J233" i="2"/>
  <c r="E233" i="4" s="1"/>
  <c r="I233" i="4"/>
  <c r="J232" i="2"/>
  <c r="E232" i="4" s="1"/>
  <c r="K232" i="4" s="1"/>
  <c r="I232" i="4"/>
  <c r="J231" i="2"/>
  <c r="E231" i="4" s="1"/>
  <c r="K231" i="4" s="1"/>
  <c r="H231" i="2"/>
  <c r="I231" i="2" s="1"/>
  <c r="F231" i="4" s="1"/>
  <c r="I231" i="4"/>
  <c r="J230" i="2"/>
  <c r="I230" i="4"/>
  <c r="J229" i="2"/>
  <c r="E229" i="4" s="1"/>
  <c r="K229" i="4" s="1"/>
  <c r="H229" i="4"/>
  <c r="J228" i="2"/>
  <c r="E228" i="4" s="1"/>
  <c r="K228" i="4" s="1"/>
  <c r="J227" i="2"/>
  <c r="E227" i="4" s="1"/>
  <c r="K227" i="4" s="1"/>
  <c r="I227" i="4"/>
  <c r="H227" i="4"/>
  <c r="J226" i="2"/>
  <c r="E226" i="4" s="1"/>
  <c r="I226" i="4"/>
  <c r="H226" i="4"/>
  <c r="J225" i="2"/>
  <c r="E225" i="4" s="1"/>
  <c r="H225" i="2"/>
  <c r="I225" i="2" s="1"/>
  <c r="F225" i="4" s="1"/>
  <c r="I225" i="4"/>
  <c r="J224" i="2"/>
  <c r="E224" i="4" s="1"/>
  <c r="K224" i="4" s="1"/>
  <c r="H224" i="2"/>
  <c r="I224" i="2" s="1"/>
  <c r="F224" i="4" s="1"/>
  <c r="J223" i="2"/>
  <c r="E223" i="4" s="1"/>
  <c r="K223" i="4" s="1"/>
  <c r="I223" i="4"/>
  <c r="J222" i="2"/>
  <c r="E222" i="4" s="1"/>
  <c r="I222" i="4"/>
  <c r="J221" i="2"/>
  <c r="E221" i="4" s="1"/>
  <c r="K221" i="4" s="1"/>
  <c r="H221" i="2"/>
  <c r="I221" i="2" s="1"/>
  <c r="F221" i="4" s="1"/>
  <c r="J220" i="2"/>
  <c r="E220" i="4" s="1"/>
  <c r="K220" i="4" s="1"/>
  <c r="H220" i="2"/>
  <c r="I220" i="2" s="1"/>
  <c r="F220" i="4" s="1"/>
  <c r="J219" i="2"/>
  <c r="E219" i="4" s="1"/>
  <c r="K219" i="4" s="1"/>
  <c r="I219" i="4"/>
  <c r="J218" i="2"/>
  <c r="E218" i="4" s="1"/>
  <c r="K218" i="4" s="1"/>
  <c r="I218" i="4"/>
  <c r="J217" i="2"/>
  <c r="E217" i="4" s="1"/>
  <c r="K217" i="4" s="1"/>
  <c r="I217" i="4"/>
  <c r="H217" i="4"/>
  <c r="J216" i="2"/>
  <c r="E216" i="4" s="1"/>
  <c r="K216" i="4" s="1"/>
  <c r="I216" i="4"/>
  <c r="J215" i="2"/>
  <c r="E215" i="4" s="1"/>
  <c r="K215" i="4" s="1"/>
  <c r="I215" i="4"/>
  <c r="J214" i="2"/>
  <c r="E214" i="4" s="1"/>
  <c r="I214" i="4"/>
  <c r="H214" i="2"/>
  <c r="I214" i="2" s="1"/>
  <c r="F214" i="4" s="1"/>
  <c r="J213" i="2"/>
  <c r="E213" i="4" s="1"/>
  <c r="K213" i="4" s="1"/>
  <c r="H213" i="2"/>
  <c r="I213" i="2" s="1"/>
  <c r="F213" i="4" s="1"/>
  <c r="H213" i="4"/>
  <c r="J212" i="2"/>
  <c r="E212" i="4" s="1"/>
  <c r="H212" i="4"/>
  <c r="J211" i="2"/>
  <c r="E211" i="4" s="1"/>
  <c r="K211" i="4" s="1"/>
  <c r="H211" i="2"/>
  <c r="I211" i="2" s="1"/>
  <c r="F211" i="4" s="1"/>
  <c r="I211" i="4"/>
  <c r="H211" i="4"/>
  <c r="J210" i="2"/>
  <c r="I210" i="4"/>
  <c r="H210" i="2"/>
  <c r="I210" i="2" s="1"/>
  <c r="F210" i="4" s="1"/>
  <c r="J209" i="2"/>
  <c r="E209" i="4" s="1"/>
  <c r="K209" i="4" s="1"/>
  <c r="I209" i="4"/>
  <c r="H209" i="2"/>
  <c r="I209" i="2" s="1"/>
  <c r="F209" i="4" s="1"/>
  <c r="J208" i="2"/>
  <c r="E208" i="4" s="1"/>
  <c r="K208" i="4" s="1"/>
  <c r="H208" i="2"/>
  <c r="I208" i="2" s="1"/>
  <c r="F208" i="4" s="1"/>
  <c r="I208" i="4"/>
  <c r="H208" i="4"/>
  <c r="J207" i="2"/>
  <c r="E207" i="4" s="1"/>
  <c r="K207" i="4" s="1"/>
  <c r="I207" i="4"/>
  <c r="H207" i="2"/>
  <c r="I207" i="2" s="1"/>
  <c r="F207" i="4" s="1"/>
  <c r="J206" i="2"/>
  <c r="E206" i="4" s="1"/>
  <c r="K206" i="4" s="1"/>
  <c r="H206" i="2"/>
  <c r="I206" i="2" s="1"/>
  <c r="F206" i="4" s="1"/>
  <c r="H206" i="4"/>
  <c r="J205" i="2"/>
  <c r="E205" i="4" s="1"/>
  <c r="K205" i="4" s="1"/>
  <c r="H205" i="2"/>
  <c r="I205" i="2" s="1"/>
  <c r="F205" i="4" s="1"/>
  <c r="J204" i="2"/>
  <c r="E204" i="4" s="1"/>
  <c r="K204" i="4" s="1"/>
  <c r="I204" i="4"/>
  <c r="H204" i="4"/>
  <c r="J203" i="2"/>
  <c r="E203" i="4" s="1"/>
  <c r="I203" i="4"/>
  <c r="J202" i="2"/>
  <c r="E202" i="4" s="1"/>
  <c r="K202" i="4" s="1"/>
  <c r="I202" i="4"/>
  <c r="J201" i="2"/>
  <c r="E201" i="4" s="1"/>
  <c r="K201" i="4" s="1"/>
  <c r="I201" i="4"/>
  <c r="H201" i="2"/>
  <c r="I201" i="2" s="1"/>
  <c r="F201" i="4" s="1"/>
  <c r="J200" i="2"/>
  <c r="I200" i="4"/>
  <c r="H200" i="4"/>
  <c r="J199" i="2"/>
  <c r="E199" i="4" s="1"/>
  <c r="H199" i="2"/>
  <c r="I199" i="2" s="1"/>
  <c r="F199" i="4" s="1"/>
  <c r="J198" i="2"/>
  <c r="E198" i="4" s="1"/>
  <c r="H198" i="2"/>
  <c r="I198" i="2" s="1"/>
  <c r="F198" i="4" s="1"/>
  <c r="J197" i="2"/>
  <c r="H197" i="2"/>
  <c r="I197" i="2" s="1"/>
  <c r="F197" i="4" s="1"/>
  <c r="J196" i="2"/>
  <c r="I196" i="4"/>
  <c r="H196" i="4"/>
  <c r="J195" i="2"/>
  <c r="E195" i="4" s="1"/>
  <c r="K195" i="4" s="1"/>
  <c r="J194" i="2"/>
  <c r="I194" i="4"/>
  <c r="J193" i="2"/>
  <c r="E193" i="4" s="1"/>
  <c r="H193" i="2"/>
  <c r="I193" i="2" s="1"/>
  <c r="F193" i="4" s="1"/>
  <c r="J192" i="2"/>
  <c r="E192" i="4" s="1"/>
  <c r="K192" i="4" s="1"/>
  <c r="H192" i="2"/>
  <c r="I192" i="2" s="1"/>
  <c r="F192" i="4" s="1"/>
  <c r="I192" i="4"/>
  <c r="H192" i="4"/>
  <c r="J191" i="2"/>
  <c r="E191" i="4" s="1"/>
  <c r="H191" i="4"/>
  <c r="J190" i="2"/>
  <c r="E190" i="4" s="1"/>
  <c r="K190" i="4" s="1"/>
  <c r="I190" i="4"/>
  <c r="H190" i="4"/>
  <c r="J189" i="2"/>
  <c r="I189" i="4"/>
  <c r="H189" i="4"/>
  <c r="J188" i="2"/>
  <c r="J187" i="2"/>
  <c r="E187" i="4" s="1"/>
  <c r="J186" i="2"/>
  <c r="E186" i="4" s="1"/>
  <c r="K186" i="4" s="1"/>
  <c r="I186" i="4"/>
  <c r="H186" i="4"/>
  <c r="J185" i="2"/>
  <c r="E185" i="4" s="1"/>
  <c r="I185" i="4"/>
  <c r="H185" i="2"/>
  <c r="I185" i="2" s="1"/>
  <c r="F185" i="4" s="1"/>
  <c r="J184" i="2"/>
  <c r="E184" i="4" s="1"/>
  <c r="K184" i="4" s="1"/>
  <c r="H184" i="2"/>
  <c r="I184" i="2" s="1"/>
  <c r="F184" i="4" s="1"/>
  <c r="J183" i="2"/>
  <c r="E183" i="4" s="1"/>
  <c r="K183" i="4" s="1"/>
  <c r="H183" i="2"/>
  <c r="I183" i="2" s="1"/>
  <c r="F183" i="4" s="1"/>
  <c r="I183" i="4"/>
  <c r="H183" i="4"/>
  <c r="J182" i="2"/>
  <c r="E182" i="4" s="1"/>
  <c r="H182" i="2"/>
  <c r="I182" i="2" s="1"/>
  <c r="F182" i="4" s="1"/>
  <c r="I182" i="4"/>
  <c r="J181" i="2"/>
  <c r="I181" i="4"/>
  <c r="H181" i="4"/>
  <c r="J180" i="2"/>
  <c r="E180" i="4" s="1"/>
  <c r="K180" i="4" s="1"/>
  <c r="I180" i="4"/>
  <c r="H180" i="4"/>
  <c r="J179" i="2"/>
  <c r="E179" i="4" s="1"/>
  <c r="K179" i="4" s="1"/>
  <c r="H179" i="2"/>
  <c r="I179" i="2" s="1"/>
  <c r="F179" i="4" s="1"/>
  <c r="J178" i="2"/>
  <c r="E178" i="4" s="1"/>
  <c r="K178" i="4" s="1"/>
  <c r="I178" i="4"/>
  <c r="J177" i="2"/>
  <c r="E177" i="4" s="1"/>
  <c r="K177" i="4" s="1"/>
  <c r="H177" i="2"/>
  <c r="I177" i="2" s="1"/>
  <c r="F177" i="4" s="1"/>
  <c r="J176" i="2"/>
  <c r="E176" i="4" s="1"/>
  <c r="K176" i="4" s="1"/>
  <c r="H176" i="2"/>
  <c r="I176" i="2" s="1"/>
  <c r="F176" i="4" s="1"/>
  <c r="J175" i="2"/>
  <c r="E175" i="4" s="1"/>
  <c r="K175" i="4" s="1"/>
  <c r="J174" i="2"/>
  <c r="I174" i="4"/>
  <c r="J173" i="2"/>
  <c r="E173" i="4" s="1"/>
  <c r="K173" i="4" s="1"/>
  <c r="I173" i="4"/>
  <c r="H173" i="4"/>
  <c r="J172" i="2"/>
  <c r="E172" i="4" s="1"/>
  <c r="K172" i="4" s="1"/>
  <c r="H172" i="2"/>
  <c r="I172" i="2" s="1"/>
  <c r="F172" i="4" s="1"/>
  <c r="J171" i="2"/>
  <c r="E171" i="4" s="1"/>
  <c r="K171" i="4" s="1"/>
  <c r="J170" i="2"/>
  <c r="E170" i="4" s="1"/>
  <c r="K170" i="4" s="1"/>
  <c r="H170" i="2"/>
  <c r="I170" i="2" s="1"/>
  <c r="F170" i="4" s="1"/>
  <c r="J169" i="2"/>
  <c r="I169" i="4"/>
  <c r="J168" i="2"/>
  <c r="I168" i="4"/>
  <c r="J167" i="2"/>
  <c r="E167" i="4" s="1"/>
  <c r="K167" i="4" s="1"/>
  <c r="I167" i="4"/>
  <c r="H167" i="4"/>
  <c r="J166" i="2"/>
  <c r="E166" i="4" s="1"/>
  <c r="K166" i="4" s="1"/>
  <c r="I166" i="4"/>
  <c r="J165" i="2"/>
  <c r="I165" i="4"/>
  <c r="H165" i="4"/>
  <c r="J164" i="2"/>
  <c r="E164" i="4" s="1"/>
  <c r="J163" i="2"/>
  <c r="E163" i="4" s="1"/>
  <c r="K163" i="4" s="1"/>
  <c r="I163" i="4"/>
  <c r="H163" i="4"/>
  <c r="J162" i="2"/>
  <c r="E162" i="4" s="1"/>
  <c r="K162" i="4" s="1"/>
  <c r="H162" i="2"/>
  <c r="I162" i="2" s="1"/>
  <c r="F162" i="4" s="1"/>
  <c r="J161" i="2"/>
  <c r="E161" i="4" s="1"/>
  <c r="K161" i="4" s="1"/>
  <c r="I161" i="4"/>
  <c r="H161" i="4"/>
  <c r="J160" i="2"/>
  <c r="I160" i="4"/>
  <c r="J159" i="2"/>
  <c r="E159" i="4" s="1"/>
  <c r="I159" i="4"/>
  <c r="H159" i="4"/>
  <c r="J158" i="2"/>
  <c r="E158" i="4" s="1"/>
  <c r="H158" i="2"/>
  <c r="I158" i="2" s="1"/>
  <c r="F158" i="4" s="1"/>
  <c r="J157" i="2"/>
  <c r="E157" i="4" s="1"/>
  <c r="K157" i="4" s="1"/>
  <c r="J156" i="2"/>
  <c r="E156" i="4" s="1"/>
  <c r="K156" i="4" s="1"/>
  <c r="H156" i="2"/>
  <c r="I156" i="2" s="1"/>
  <c r="F156" i="4" s="1"/>
  <c r="J155" i="2"/>
  <c r="E155" i="4" s="1"/>
  <c r="K155" i="4" s="1"/>
  <c r="I155" i="2"/>
  <c r="F155" i="4" s="1"/>
  <c r="H155" i="2"/>
  <c r="J154" i="2"/>
  <c r="H154" i="2"/>
  <c r="I154" i="2" s="1"/>
  <c r="F154" i="4" s="1"/>
  <c r="J153" i="2"/>
  <c r="E153" i="4" s="1"/>
  <c r="I153" i="4"/>
  <c r="H153" i="2"/>
  <c r="I153" i="2" s="1"/>
  <c r="F153" i="4" s="1"/>
  <c r="J152" i="2"/>
  <c r="E152" i="4" s="1"/>
  <c r="K152" i="4" s="1"/>
  <c r="J151" i="2"/>
  <c r="E151" i="4" s="1"/>
  <c r="K151" i="4" s="1"/>
  <c r="I151" i="4"/>
  <c r="H151" i="4"/>
  <c r="J150" i="2"/>
  <c r="E150" i="4" s="1"/>
  <c r="K150" i="4" s="1"/>
  <c r="J149" i="2"/>
  <c r="E149" i="4" s="1"/>
  <c r="K149" i="4" s="1"/>
  <c r="H149" i="2"/>
  <c r="I149" i="2" s="1"/>
  <c r="F149" i="4" s="1"/>
  <c r="I149" i="4"/>
  <c r="H149" i="4"/>
  <c r="J148" i="2"/>
  <c r="E148" i="4" s="1"/>
  <c r="K148" i="4" s="1"/>
  <c r="H148" i="2"/>
  <c r="I148" i="2" s="1"/>
  <c r="F148" i="4" s="1"/>
  <c r="J147" i="2"/>
  <c r="E147" i="4" s="1"/>
  <c r="K147" i="4" s="1"/>
  <c r="H147" i="2"/>
  <c r="I147" i="2" s="1"/>
  <c r="F147" i="4" s="1"/>
  <c r="J146" i="2"/>
  <c r="I146" i="4"/>
  <c r="J145" i="2"/>
  <c r="H145" i="2"/>
  <c r="I145" i="2" s="1"/>
  <c r="F145" i="4" s="1"/>
  <c r="H145" i="4"/>
  <c r="J144" i="2"/>
  <c r="I144" i="4"/>
  <c r="H144" i="4"/>
  <c r="J143" i="2"/>
  <c r="E143" i="4" s="1"/>
  <c r="K143" i="4" s="1"/>
  <c r="J142" i="2"/>
  <c r="E142" i="4" s="1"/>
  <c r="H142" i="2"/>
  <c r="I142" i="2" s="1"/>
  <c r="F142" i="4" s="1"/>
  <c r="I142" i="4"/>
  <c r="J141" i="2"/>
  <c r="E141" i="4" s="1"/>
  <c r="K141" i="4" s="1"/>
  <c r="I141" i="4"/>
  <c r="H141" i="2"/>
  <c r="I141" i="2" s="1"/>
  <c r="F141" i="4" s="1"/>
  <c r="J140" i="2"/>
  <c r="I140" i="4"/>
  <c r="H140" i="4"/>
  <c r="J139" i="2"/>
  <c r="E139" i="4" s="1"/>
  <c r="K139" i="4" s="1"/>
  <c r="H139" i="2"/>
  <c r="I139" i="2" s="1"/>
  <c r="F139" i="4" s="1"/>
  <c r="J138" i="2"/>
  <c r="E138" i="4" s="1"/>
  <c r="K138" i="4" s="1"/>
  <c r="H138" i="2"/>
  <c r="I138" i="2" s="1"/>
  <c r="I138" i="4"/>
  <c r="H138" i="4"/>
  <c r="J137" i="2"/>
  <c r="E137" i="4" s="1"/>
  <c r="I137" i="4"/>
  <c r="J136" i="2"/>
  <c r="E136" i="4" s="1"/>
  <c r="K136" i="4" s="1"/>
  <c r="I136" i="4"/>
  <c r="H136" i="4"/>
  <c r="J135" i="2"/>
  <c r="E135" i="4" s="1"/>
  <c r="I135" i="4"/>
  <c r="J134" i="2"/>
  <c r="E134" i="4" s="1"/>
  <c r="K134" i="4" s="1"/>
  <c r="I134" i="4"/>
  <c r="J133" i="2"/>
  <c r="E133" i="4" s="1"/>
  <c r="K133" i="4" s="1"/>
  <c r="H133" i="2"/>
  <c r="I133" i="2" s="1"/>
  <c r="F133" i="4" s="1"/>
  <c r="J132" i="2"/>
  <c r="E132" i="4" s="1"/>
  <c r="K132" i="4" s="1"/>
  <c r="H132" i="2"/>
  <c r="I132" i="2" s="1"/>
  <c r="F132" i="4" s="1"/>
  <c r="J131" i="2"/>
  <c r="E131" i="4" s="1"/>
  <c r="K131" i="4" s="1"/>
  <c r="I131" i="4"/>
  <c r="J130" i="2"/>
  <c r="H130" i="4"/>
  <c r="J129" i="2"/>
  <c r="E129" i="4" s="1"/>
  <c r="K129" i="4" s="1"/>
  <c r="H129" i="2"/>
  <c r="I129" i="2" s="1"/>
  <c r="F129" i="4" s="1"/>
  <c r="J128" i="2"/>
  <c r="E128" i="4" s="1"/>
  <c r="K128" i="4" s="1"/>
  <c r="H128" i="2"/>
  <c r="I128" i="2" s="1"/>
  <c r="F128" i="4" s="1"/>
  <c r="I128" i="4"/>
  <c r="H128" i="4"/>
  <c r="J127" i="2"/>
  <c r="E127" i="4" s="1"/>
  <c r="K127" i="4" s="1"/>
  <c r="I127" i="4"/>
  <c r="J126" i="2"/>
  <c r="E126" i="4" s="1"/>
  <c r="K126" i="4" s="1"/>
  <c r="H126" i="2"/>
  <c r="I126" i="2" s="1"/>
  <c r="F126" i="4" s="1"/>
  <c r="I126" i="4"/>
  <c r="J125" i="2"/>
  <c r="H125" i="2"/>
  <c r="I125" i="2" s="1"/>
  <c r="F125" i="4" s="1"/>
  <c r="J124" i="2"/>
  <c r="E124" i="4" s="1"/>
  <c r="K124" i="4" s="1"/>
  <c r="H124" i="4"/>
  <c r="J123" i="2"/>
  <c r="J122" i="2"/>
  <c r="E122" i="4" s="1"/>
  <c r="K122" i="4" s="1"/>
  <c r="I122" i="4"/>
  <c r="J121" i="2"/>
  <c r="I121" i="4"/>
  <c r="H121" i="2"/>
  <c r="I121" i="2" s="1"/>
  <c r="F121" i="4" s="1"/>
  <c r="J120" i="2"/>
  <c r="E120" i="4" s="1"/>
  <c r="K120" i="4" s="1"/>
  <c r="H120" i="2"/>
  <c r="I120" i="2" s="1"/>
  <c r="F120" i="4" s="1"/>
  <c r="J119" i="2"/>
  <c r="I119" i="4"/>
  <c r="J118" i="2"/>
  <c r="E118" i="4" s="1"/>
  <c r="H118" i="2"/>
  <c r="I118" i="2" s="1"/>
  <c r="F118" i="4" s="1"/>
  <c r="H118" i="4"/>
  <c r="J117" i="2"/>
  <c r="I117" i="4"/>
  <c r="J116" i="2"/>
  <c r="E116" i="4" s="1"/>
  <c r="K116" i="4" s="1"/>
  <c r="J115" i="2"/>
  <c r="H115" i="4"/>
  <c r="J114" i="2"/>
  <c r="J113" i="2"/>
  <c r="I113" i="4"/>
  <c r="H113" i="2"/>
  <c r="I113" i="2" s="1"/>
  <c r="F113" i="4" s="1"/>
  <c r="J112" i="2"/>
  <c r="E112" i="4" s="1"/>
  <c r="K112" i="4" s="1"/>
  <c r="J111" i="2"/>
  <c r="E111" i="4" s="1"/>
  <c r="K111" i="4" s="1"/>
  <c r="H111" i="2"/>
  <c r="I111" i="2" s="1"/>
  <c r="F111" i="4" s="1"/>
  <c r="J110" i="2"/>
  <c r="E110" i="4" s="1"/>
  <c r="K110" i="4" s="1"/>
  <c r="H110" i="2"/>
  <c r="I110" i="2" s="1"/>
  <c r="F110" i="4" s="1"/>
  <c r="J109" i="2"/>
  <c r="H109" i="2"/>
  <c r="I109" i="2" s="1"/>
  <c r="F109" i="4" s="1"/>
  <c r="I109" i="4"/>
  <c r="H109" i="4"/>
  <c r="J108" i="2"/>
  <c r="E108" i="4" s="1"/>
  <c r="K108" i="4" s="1"/>
  <c r="H108" i="2"/>
  <c r="I108" i="2" s="1"/>
  <c r="F108" i="4" s="1"/>
  <c r="J107" i="2"/>
  <c r="E107" i="4" s="1"/>
  <c r="H107" i="2"/>
  <c r="I107" i="2" s="1"/>
  <c r="F107" i="4" s="1"/>
  <c r="I107" i="4"/>
  <c r="H107" i="4"/>
  <c r="J106" i="2"/>
  <c r="H106" i="2"/>
  <c r="I106" i="2" s="1"/>
  <c r="F106" i="4" s="1"/>
  <c r="I106" i="4"/>
  <c r="H106" i="4"/>
  <c r="J105" i="2"/>
  <c r="E105" i="4" s="1"/>
  <c r="K105" i="4" s="1"/>
  <c r="H105" i="2"/>
  <c r="I105" i="2" s="1"/>
  <c r="F105" i="4" s="1"/>
  <c r="I105" i="4"/>
  <c r="H105" i="4"/>
  <c r="J104" i="2"/>
  <c r="E104" i="4" s="1"/>
  <c r="K104" i="4" s="1"/>
  <c r="I104" i="4"/>
  <c r="H104" i="4"/>
  <c r="J103" i="2"/>
  <c r="I103" i="4"/>
  <c r="J102" i="2"/>
  <c r="E102" i="4" s="1"/>
  <c r="K102" i="4" s="1"/>
  <c r="J101" i="2"/>
  <c r="E101" i="4" s="1"/>
  <c r="K101" i="4" s="1"/>
  <c r="H101" i="2"/>
  <c r="I101" i="2" s="1"/>
  <c r="F101" i="4" s="1"/>
  <c r="J100" i="2"/>
  <c r="E100" i="4" s="1"/>
  <c r="K100" i="4" s="1"/>
  <c r="J99" i="2"/>
  <c r="I99" i="4"/>
  <c r="H99" i="4"/>
  <c r="J98" i="2"/>
  <c r="E98" i="4" s="1"/>
  <c r="K98" i="4" s="1"/>
  <c r="I98" i="4"/>
  <c r="J97" i="2"/>
  <c r="E97" i="4" s="1"/>
  <c r="K97" i="4" s="1"/>
  <c r="H97" i="2"/>
  <c r="I97" i="2" s="1"/>
  <c r="F97" i="4" s="1"/>
  <c r="I97" i="4"/>
  <c r="H97" i="4"/>
  <c r="J96" i="2"/>
  <c r="E96" i="4" s="1"/>
  <c r="K96" i="4" s="1"/>
  <c r="I96" i="4"/>
  <c r="H96" i="4"/>
  <c r="J95" i="2"/>
  <c r="E95" i="4" s="1"/>
  <c r="K95" i="4" s="1"/>
  <c r="H95" i="2"/>
  <c r="I95" i="2" s="1"/>
  <c r="F95" i="4" s="1"/>
  <c r="I95" i="4"/>
  <c r="J94" i="2"/>
  <c r="H94" i="2"/>
  <c r="I94" i="2" s="1"/>
  <c r="F94" i="4" s="1"/>
  <c r="J93" i="2"/>
  <c r="E93" i="4" s="1"/>
  <c r="I93" i="4"/>
  <c r="H93" i="4"/>
  <c r="J92" i="2"/>
  <c r="E92" i="4" s="1"/>
  <c r="K92" i="4" s="1"/>
  <c r="I92" i="4"/>
  <c r="H92" i="4"/>
  <c r="J91" i="2"/>
  <c r="E91" i="4" s="1"/>
  <c r="K91" i="4" s="1"/>
  <c r="J90" i="2"/>
  <c r="E90" i="4" s="1"/>
  <c r="K90" i="4" s="1"/>
  <c r="I90" i="4"/>
  <c r="H90" i="4"/>
  <c r="J89" i="2"/>
  <c r="H89" i="2"/>
  <c r="I89" i="2" s="1"/>
  <c r="F89" i="4" s="1"/>
  <c r="J88" i="2"/>
  <c r="E88" i="4" s="1"/>
  <c r="K88" i="4" s="1"/>
  <c r="H88" i="2"/>
  <c r="I88" i="2" s="1"/>
  <c r="J87" i="2"/>
  <c r="E87" i="4" s="1"/>
  <c r="H87" i="2"/>
  <c r="I87" i="2" s="1"/>
  <c r="F87" i="4" s="1"/>
  <c r="J86" i="2"/>
  <c r="E86" i="4" s="1"/>
  <c r="K86" i="4" s="1"/>
  <c r="H86" i="4"/>
  <c r="J85" i="2"/>
  <c r="E85" i="4" s="1"/>
  <c r="K85" i="4" s="1"/>
  <c r="I85" i="4"/>
  <c r="J84" i="2"/>
  <c r="E84" i="4" s="1"/>
  <c r="K84" i="4" s="1"/>
  <c r="I84" i="4"/>
  <c r="J83" i="2"/>
  <c r="E83" i="4" s="1"/>
  <c r="K83" i="4" s="1"/>
  <c r="H83" i="2"/>
  <c r="I83" i="2" s="1"/>
  <c r="F83" i="4" s="1"/>
  <c r="J82" i="2"/>
  <c r="I82" i="4"/>
  <c r="H82" i="4"/>
  <c r="J81" i="2"/>
  <c r="E81" i="4" s="1"/>
  <c r="K81" i="4" s="1"/>
  <c r="H81" i="2"/>
  <c r="I81" i="2" s="1"/>
  <c r="F81" i="4" s="1"/>
  <c r="J80" i="2"/>
  <c r="E80" i="4" s="1"/>
  <c r="K80" i="4" s="1"/>
  <c r="I80" i="4"/>
  <c r="H80" i="2"/>
  <c r="I80" i="2" s="1"/>
  <c r="F80" i="4" s="1"/>
  <c r="J79" i="2"/>
  <c r="E79" i="4" s="1"/>
  <c r="I79" i="4"/>
  <c r="J78" i="2"/>
  <c r="E78" i="4" s="1"/>
  <c r="K78" i="4" s="1"/>
  <c r="I78" i="4"/>
  <c r="J77" i="2"/>
  <c r="E77" i="4" s="1"/>
  <c r="K77" i="4" s="1"/>
  <c r="H77" i="2"/>
  <c r="I77" i="2" s="1"/>
  <c r="F77" i="4" s="1"/>
  <c r="J76" i="2"/>
  <c r="E76" i="4" s="1"/>
  <c r="K76" i="4" s="1"/>
  <c r="H76" i="2"/>
  <c r="I76" i="2" s="1"/>
  <c r="F76" i="4" s="1"/>
  <c r="J75" i="2"/>
  <c r="E75" i="4" s="1"/>
  <c r="K75" i="4" s="1"/>
  <c r="H75" i="2"/>
  <c r="I75" i="2" s="1"/>
  <c r="F75" i="4" s="1"/>
  <c r="H75" i="4"/>
  <c r="J74" i="2"/>
  <c r="H74" i="2"/>
  <c r="I74" i="2" s="1"/>
  <c r="F74" i="4" s="1"/>
  <c r="J73" i="2"/>
  <c r="I73" i="4"/>
  <c r="H73" i="4"/>
  <c r="J72" i="2"/>
  <c r="E72" i="4" s="1"/>
  <c r="K72" i="4" s="1"/>
  <c r="I72" i="4"/>
  <c r="J71" i="2"/>
  <c r="I71" i="4"/>
  <c r="J70" i="2"/>
  <c r="H70" i="2"/>
  <c r="I70" i="2" s="1"/>
  <c r="F70" i="4" s="1"/>
  <c r="I70" i="4"/>
  <c r="J69" i="2"/>
  <c r="E69" i="4" s="1"/>
  <c r="K69" i="4" s="1"/>
  <c r="I69" i="4"/>
  <c r="J68" i="2"/>
  <c r="E68" i="4" s="1"/>
  <c r="K68" i="4" s="1"/>
  <c r="H68" i="2"/>
  <c r="I68" i="2" s="1"/>
  <c r="F68" i="4" s="1"/>
  <c r="J67" i="2"/>
  <c r="E67" i="4" s="1"/>
  <c r="H67" i="2"/>
  <c r="I67" i="2" s="1"/>
  <c r="F67" i="4" s="1"/>
  <c r="J66" i="2"/>
  <c r="E66" i="4" s="1"/>
  <c r="K66" i="4" s="1"/>
  <c r="H66" i="2"/>
  <c r="I66" i="2" s="1"/>
  <c r="F66" i="4" s="1"/>
  <c r="J65" i="2"/>
  <c r="E65" i="4" s="1"/>
  <c r="K65" i="4" s="1"/>
  <c r="H65" i="2"/>
  <c r="I65" i="2" s="1"/>
  <c r="F65" i="4" s="1"/>
  <c r="J64" i="2"/>
  <c r="E64" i="4" s="1"/>
  <c r="K64" i="4" s="1"/>
  <c r="I64" i="4"/>
  <c r="H64" i="4"/>
  <c r="J63" i="2"/>
  <c r="H63" i="2"/>
  <c r="I63" i="2" s="1"/>
  <c r="F63" i="4" s="1"/>
  <c r="J62" i="2"/>
  <c r="E62" i="4" s="1"/>
  <c r="I62" i="4"/>
  <c r="H62" i="2"/>
  <c r="I62" i="2" s="1"/>
  <c r="F62" i="4" s="1"/>
  <c r="J61" i="2"/>
  <c r="I61" i="4"/>
  <c r="H61" i="4"/>
  <c r="J60" i="2"/>
  <c r="E60" i="4" s="1"/>
  <c r="K60" i="4" s="1"/>
  <c r="H60" i="2"/>
  <c r="I60" i="2" s="1"/>
  <c r="F60" i="4" s="1"/>
  <c r="I60" i="4"/>
  <c r="J59" i="2"/>
  <c r="I59" i="4"/>
  <c r="J58" i="2"/>
  <c r="E58" i="4" s="1"/>
  <c r="I58" i="4"/>
  <c r="H58" i="4"/>
  <c r="J57" i="2"/>
  <c r="H57" i="2"/>
  <c r="I57" i="2" s="1"/>
  <c r="F57" i="4" s="1"/>
  <c r="J56" i="2"/>
  <c r="E56" i="4" s="1"/>
  <c r="K56" i="4" s="1"/>
  <c r="H56" i="2"/>
  <c r="I56" i="2" s="1"/>
  <c r="F56" i="4" s="1"/>
  <c r="J55" i="2"/>
  <c r="E55" i="4" s="1"/>
  <c r="K55" i="4" s="1"/>
  <c r="I55" i="4"/>
  <c r="H55" i="4"/>
  <c r="J54" i="2"/>
  <c r="E54" i="4" s="1"/>
  <c r="K54" i="4" s="1"/>
  <c r="H54" i="2"/>
  <c r="I54" i="2" s="1"/>
  <c r="F54" i="4" s="1"/>
  <c r="J53" i="2"/>
  <c r="H53" i="2"/>
  <c r="I53" i="2" s="1"/>
  <c r="J52" i="2"/>
  <c r="E52" i="4" s="1"/>
  <c r="K52" i="4" s="1"/>
  <c r="I52" i="4"/>
  <c r="J51" i="2"/>
  <c r="E51" i="4" s="1"/>
  <c r="I51" i="4"/>
  <c r="H51" i="4"/>
  <c r="J50" i="2"/>
  <c r="E50" i="4" s="1"/>
  <c r="K50" i="4" s="1"/>
  <c r="I50" i="4"/>
  <c r="J49" i="2"/>
  <c r="E49" i="4" s="1"/>
  <c r="K49" i="4" s="1"/>
  <c r="I49" i="4"/>
  <c r="H49" i="4"/>
  <c r="J48" i="2"/>
  <c r="E48" i="4" s="1"/>
  <c r="K48" i="4" s="1"/>
  <c r="H48" i="2"/>
  <c r="I48" i="2" s="1"/>
  <c r="F48" i="4" s="1"/>
  <c r="J47" i="2"/>
  <c r="E47" i="4" s="1"/>
  <c r="H47" i="2"/>
  <c r="I47" i="2" s="1"/>
  <c r="F47" i="4" s="1"/>
  <c r="J46" i="2"/>
  <c r="E46" i="4" s="1"/>
  <c r="K46" i="4" s="1"/>
  <c r="I46" i="4"/>
  <c r="J45" i="2"/>
  <c r="E45" i="4" s="1"/>
  <c r="H45" i="2"/>
  <c r="I45" i="2" s="1"/>
  <c r="F45" i="4" s="1"/>
  <c r="J44" i="2"/>
  <c r="E44" i="4" s="1"/>
  <c r="H44" i="2"/>
  <c r="I44" i="2" s="1"/>
  <c r="F44" i="4" s="1"/>
  <c r="J43" i="2"/>
  <c r="E43" i="4" s="1"/>
  <c r="I43" i="4"/>
  <c r="J42" i="2"/>
  <c r="E42" i="4" s="1"/>
  <c r="H42" i="2"/>
  <c r="I42" i="2" s="1"/>
  <c r="F42" i="4" s="1"/>
  <c r="J41" i="2"/>
  <c r="I41" i="4"/>
  <c r="H41" i="4"/>
  <c r="J40" i="2"/>
  <c r="E40" i="4" s="1"/>
  <c r="H40" i="2"/>
  <c r="I40" i="2" s="1"/>
  <c r="F40" i="4" s="1"/>
  <c r="J39" i="2"/>
  <c r="I39" i="4"/>
  <c r="J38" i="2"/>
  <c r="H38" i="2"/>
  <c r="I38" i="2" s="1"/>
  <c r="F38" i="4" s="1"/>
  <c r="J37" i="2"/>
  <c r="E37" i="4" s="1"/>
  <c r="H37" i="5" s="1"/>
  <c r="D37" i="5" s="1"/>
  <c r="I37" i="4"/>
  <c r="J36" i="2"/>
  <c r="E36" i="4" s="1"/>
  <c r="J35" i="2"/>
  <c r="I35" i="4"/>
  <c r="H35" i="2"/>
  <c r="I35" i="2" s="1"/>
  <c r="F35" i="4" s="1"/>
  <c r="J34" i="2"/>
  <c r="I34" i="4"/>
  <c r="J33" i="2"/>
  <c r="E33" i="4" s="1"/>
  <c r="H33" i="5" s="1"/>
  <c r="H33" i="2"/>
  <c r="I33" i="2" s="1"/>
  <c r="F33" i="4" s="1"/>
  <c r="I33" i="4"/>
  <c r="J32" i="2"/>
  <c r="E32" i="4" s="1"/>
  <c r="K32" i="4" s="1"/>
  <c r="H32" i="4"/>
  <c r="J31" i="2"/>
  <c r="E31" i="4" s="1"/>
  <c r="H31" i="5" s="1"/>
  <c r="H31" i="2"/>
  <c r="I31" i="2" s="1"/>
  <c r="F31" i="4" s="1"/>
  <c r="J30" i="2"/>
  <c r="I30" i="4"/>
  <c r="H30" i="4"/>
  <c r="J29" i="2"/>
  <c r="E29" i="4" s="1"/>
  <c r="I29" i="4"/>
  <c r="H29" i="4"/>
  <c r="J28" i="2"/>
  <c r="E28" i="4" s="1"/>
  <c r="I28" i="4"/>
  <c r="J27" i="2"/>
  <c r="E27" i="4" s="1"/>
  <c r="I27" i="2"/>
  <c r="F27" i="4" s="1"/>
  <c r="H27" i="2"/>
  <c r="J26" i="2"/>
  <c r="E26" i="4" s="1"/>
  <c r="K26" i="4" s="1"/>
  <c r="H26" i="2"/>
  <c r="I26" i="2" s="1"/>
  <c r="F26" i="4" s="1"/>
  <c r="J25" i="2"/>
  <c r="E25" i="4" s="1"/>
  <c r="H25" i="2"/>
  <c r="I25" i="2" s="1"/>
  <c r="F25" i="4" s="1"/>
  <c r="J24" i="2"/>
  <c r="E24" i="4" s="1"/>
  <c r="K24" i="4" s="1"/>
  <c r="I24" i="4"/>
  <c r="H24" i="4"/>
  <c r="J23" i="2"/>
  <c r="E23" i="4" s="1"/>
  <c r="H23" i="2"/>
  <c r="I23" i="2" s="1"/>
  <c r="F23" i="4" s="1"/>
  <c r="J22" i="2"/>
  <c r="E22" i="4" s="1"/>
  <c r="H22" i="2"/>
  <c r="I22" i="2" s="1"/>
  <c r="F22" i="4" s="1"/>
  <c r="J21" i="2"/>
  <c r="E21" i="4" s="1"/>
  <c r="H21" i="5" s="1"/>
  <c r="I21" i="4"/>
  <c r="H21" i="4"/>
  <c r="J20" i="2"/>
  <c r="E20" i="4" s="1"/>
  <c r="I20" i="4"/>
  <c r="J19" i="2"/>
  <c r="E19" i="4" s="1"/>
  <c r="H19" i="4"/>
  <c r="J18" i="2"/>
  <c r="I18" i="4"/>
  <c r="H18" i="2"/>
  <c r="I18" i="2" s="1"/>
  <c r="F18" i="4" s="1"/>
  <c r="J17" i="2"/>
  <c r="E17" i="4" s="1"/>
  <c r="I17" i="4"/>
  <c r="H17" i="4"/>
  <c r="J16" i="2"/>
  <c r="E16" i="4" s="1"/>
  <c r="K16" i="4" s="1"/>
  <c r="I16" i="4"/>
  <c r="J15" i="2"/>
  <c r="E15" i="4" s="1"/>
  <c r="K15" i="4" s="1"/>
  <c r="I15" i="4"/>
  <c r="H15" i="4"/>
  <c r="J14" i="2"/>
  <c r="I14" i="4"/>
  <c r="J13" i="2"/>
  <c r="H13" i="2"/>
  <c r="I13" i="2" s="1"/>
  <c r="F13" i="4" s="1"/>
  <c r="J12" i="2"/>
  <c r="E12" i="4" s="1"/>
  <c r="K12" i="4" s="1"/>
  <c r="I12" i="4"/>
  <c r="H12" i="4"/>
  <c r="J11" i="2"/>
  <c r="I11" i="4"/>
  <c r="J10" i="2"/>
  <c r="E10" i="4" s="1"/>
  <c r="K10" i="4" s="1"/>
  <c r="I10" i="4"/>
  <c r="H10" i="4"/>
  <c r="J9" i="2"/>
  <c r="H9" i="2"/>
  <c r="I9" i="2" s="1"/>
  <c r="F9" i="4" s="1"/>
  <c r="H9" i="4"/>
  <c r="J8" i="2"/>
  <c r="E8" i="4" s="1"/>
  <c r="K8" i="4" s="1"/>
  <c r="I8" i="4"/>
  <c r="H8" i="4"/>
  <c r="J7" i="2"/>
  <c r="I7" i="4"/>
  <c r="H7" i="2"/>
  <c r="I7" i="2" s="1"/>
  <c r="J6" i="2"/>
  <c r="E6" i="4" s="1"/>
  <c r="K6" i="4" s="1"/>
  <c r="I6" i="4"/>
  <c r="J5" i="2"/>
  <c r="I5" i="4"/>
  <c r="H5" i="4"/>
  <c r="J4" i="2"/>
  <c r="E4" i="4" s="1"/>
  <c r="K4" i="4" s="1"/>
  <c r="I4" i="2"/>
  <c r="H4" i="2"/>
  <c r="J3" i="2"/>
  <c r="E3" i="4" s="1"/>
  <c r="I3" i="4"/>
  <c r="H3" i="4"/>
  <c r="J2" i="2"/>
  <c r="E2" i="4" s="1"/>
  <c r="H2" i="2"/>
  <c r="I2" i="2" s="1"/>
  <c r="F2" i="4" s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AW25" i="1"/>
  <c r="B33" i="3" s="1"/>
  <c r="AW24" i="1"/>
  <c r="B32" i="3" s="1"/>
  <c r="AW23" i="1"/>
  <c r="AW22" i="1"/>
  <c r="AW21" i="1"/>
  <c r="B29" i="3" s="1"/>
  <c r="AW20" i="1"/>
  <c r="B28" i="3" s="1"/>
  <c r="AW19" i="1"/>
  <c r="B27" i="3" s="1"/>
  <c r="AW18" i="1"/>
  <c r="AW17" i="1"/>
  <c r="AW16" i="1"/>
  <c r="B24" i="3" s="1"/>
  <c r="AW15" i="1"/>
  <c r="B23" i="3" s="1"/>
  <c r="AW14" i="1"/>
  <c r="B22" i="3" s="1"/>
  <c r="AW13" i="1"/>
  <c r="AW12" i="1"/>
  <c r="B20" i="3" s="1"/>
  <c r="AW11" i="1"/>
  <c r="B19" i="3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N28" i="5" l="1"/>
  <c r="H16" i="2"/>
  <c r="I16" i="2" s="1"/>
  <c r="F16" i="4" s="1"/>
  <c r="N23" i="5"/>
  <c r="K32" i="5"/>
  <c r="L32" i="5"/>
  <c r="M32" i="5"/>
  <c r="H15" i="2"/>
  <c r="I15" i="2" s="1"/>
  <c r="F15" i="4" s="1"/>
  <c r="N38" i="5"/>
  <c r="N26" i="5"/>
  <c r="N32" i="5"/>
  <c r="K38" i="5"/>
  <c r="L23" i="5"/>
  <c r="L38" i="5"/>
  <c r="L30" i="5"/>
  <c r="N30" i="5"/>
  <c r="I2" i="4"/>
  <c r="L26" i="5"/>
  <c r="N44" i="5"/>
  <c r="L49" i="5"/>
  <c r="B18" i="5"/>
  <c r="K33" i="5"/>
  <c r="M26" i="5"/>
  <c r="K29" i="5"/>
  <c r="J46" i="5"/>
  <c r="N31" i="5"/>
  <c r="K46" i="5"/>
  <c r="J47" i="5"/>
  <c r="K47" i="5"/>
  <c r="N39" i="5"/>
  <c r="L47" i="5"/>
  <c r="M47" i="5"/>
  <c r="K25" i="5"/>
  <c r="N34" i="5"/>
  <c r="N35" i="5"/>
  <c r="J26" i="5"/>
  <c r="M36" i="5"/>
  <c r="L43" i="5"/>
  <c r="B32" i="5"/>
  <c r="N43" i="5"/>
  <c r="N27" i="5"/>
  <c r="J38" i="5"/>
  <c r="K43" i="5"/>
  <c r="M43" i="5"/>
  <c r="J48" i="5"/>
  <c r="J30" i="5"/>
  <c r="K30" i="5"/>
  <c r="N42" i="5"/>
  <c r="M27" i="5"/>
  <c r="M35" i="5"/>
  <c r="L46" i="5"/>
  <c r="M46" i="5"/>
  <c r="L48" i="5"/>
  <c r="L24" i="5"/>
  <c r="M24" i="5"/>
  <c r="N24" i="5"/>
  <c r="K41" i="5"/>
  <c r="J24" i="5"/>
  <c r="K37" i="5"/>
  <c r="A6" i="3"/>
  <c r="K48" i="5"/>
  <c r="J34" i="5"/>
  <c r="J42" i="5"/>
  <c r="K34" i="5"/>
  <c r="K42" i="5"/>
  <c r="L34" i="5"/>
  <c r="L42" i="5"/>
  <c r="H29" i="5"/>
  <c r="K29" i="4"/>
  <c r="G7" i="5"/>
  <c r="S4" i="5" s="1"/>
  <c r="C7" i="5"/>
  <c r="E7" i="5"/>
  <c r="S3" i="5" s="1"/>
  <c r="K2" i="4"/>
  <c r="H22" i="5"/>
  <c r="K22" i="4"/>
  <c r="H28" i="4"/>
  <c r="H28" i="2"/>
  <c r="I28" i="2" s="1"/>
  <c r="F28" i="4" s="1"/>
  <c r="H58" i="2"/>
  <c r="I58" i="2" s="1"/>
  <c r="F58" i="4" s="1"/>
  <c r="H171" i="4"/>
  <c r="H171" i="2"/>
  <c r="I171" i="2" s="1"/>
  <c r="F171" i="4" s="1"/>
  <c r="H285" i="2"/>
  <c r="I285" i="2" s="1"/>
  <c r="F285" i="4" s="1"/>
  <c r="H38" i="5"/>
  <c r="K38" i="4"/>
  <c r="H102" i="2"/>
  <c r="I102" i="2" s="1"/>
  <c r="F102" i="4" s="1"/>
  <c r="H102" i="4"/>
  <c r="H255" i="2"/>
  <c r="I255" i="2" s="1"/>
  <c r="F255" i="4" s="1"/>
  <c r="I294" i="4"/>
  <c r="H294" i="2"/>
  <c r="I294" i="2" s="1"/>
  <c r="F294" i="4" s="1"/>
  <c r="H52" i="2"/>
  <c r="I52" i="2" s="1"/>
  <c r="F52" i="4" s="1"/>
  <c r="H279" i="2"/>
  <c r="I279" i="2" s="1"/>
  <c r="F279" i="4" s="1"/>
  <c r="H80" i="4"/>
  <c r="H59" i="2"/>
  <c r="I59" i="2" s="1"/>
  <c r="F59" i="4" s="1"/>
  <c r="H59" i="4"/>
  <c r="H202" i="4"/>
  <c r="H202" i="2"/>
  <c r="I202" i="2" s="1"/>
  <c r="F202" i="4" s="1"/>
  <c r="H318" i="2"/>
  <c r="I318" i="2" s="1"/>
  <c r="F318" i="4" s="1"/>
  <c r="H29" i="2"/>
  <c r="I29" i="2" s="1"/>
  <c r="F29" i="4" s="1"/>
  <c r="H96" i="2"/>
  <c r="I96" i="2" s="1"/>
  <c r="F96" i="4" s="1"/>
  <c r="H103" i="2"/>
  <c r="I103" i="2" s="1"/>
  <c r="F103" i="4" s="1"/>
  <c r="H103" i="4"/>
  <c r="H194" i="4"/>
  <c r="H194" i="2"/>
  <c r="I194" i="2" s="1"/>
  <c r="F194" i="4" s="1"/>
  <c r="I256" i="4"/>
  <c r="H256" i="2"/>
  <c r="I256" i="2" s="1"/>
  <c r="F256" i="4" s="1"/>
  <c r="H280" i="4"/>
  <c r="H280" i="2"/>
  <c r="I280" i="2" s="1"/>
  <c r="F280" i="4" s="1"/>
  <c r="H303" i="2"/>
  <c r="I303" i="2" s="1"/>
  <c r="F303" i="4" s="1"/>
  <c r="H16" i="4"/>
  <c r="K31" i="4"/>
  <c r="H90" i="2"/>
  <c r="I90" i="2" s="1"/>
  <c r="F90" i="4" s="1"/>
  <c r="H180" i="2"/>
  <c r="I180" i="2" s="1"/>
  <c r="F180" i="4" s="1"/>
  <c r="H173" i="2"/>
  <c r="I173" i="2" s="1"/>
  <c r="F173" i="4" s="1"/>
  <c r="H227" i="2"/>
  <c r="I227" i="2" s="1"/>
  <c r="F227" i="4" s="1"/>
  <c r="H27" i="5"/>
  <c r="K27" i="4"/>
  <c r="H232" i="4"/>
  <c r="H232" i="2"/>
  <c r="I232" i="2" s="1"/>
  <c r="F232" i="4" s="1"/>
  <c r="H117" i="4"/>
  <c r="H117" i="2"/>
  <c r="I117" i="2" s="1"/>
  <c r="F117" i="4" s="1"/>
  <c r="I262" i="4"/>
  <c r="H262" i="2"/>
  <c r="I262" i="2" s="1"/>
  <c r="F262" i="4" s="1"/>
  <c r="H20" i="2"/>
  <c r="I20" i="2" s="1"/>
  <c r="F20" i="4" s="1"/>
  <c r="H42" i="5"/>
  <c r="K42" i="4"/>
  <c r="H36" i="2"/>
  <c r="I36" i="2" s="1"/>
  <c r="F36" i="4" s="1"/>
  <c r="H36" i="4"/>
  <c r="H43" i="2"/>
  <c r="I43" i="2" s="1"/>
  <c r="F43" i="4" s="1"/>
  <c r="H43" i="4"/>
  <c r="H140" i="2"/>
  <c r="I140" i="2" s="1"/>
  <c r="F140" i="4" s="1"/>
  <c r="H233" i="4"/>
  <c r="H233" i="2"/>
  <c r="I233" i="2" s="1"/>
  <c r="F233" i="4" s="1"/>
  <c r="H73" i="2"/>
  <c r="I73" i="2" s="1"/>
  <c r="F73" i="4" s="1"/>
  <c r="K36" i="4"/>
  <c r="H36" i="5"/>
  <c r="H164" i="2"/>
  <c r="I164" i="2" s="1"/>
  <c r="F164" i="4" s="1"/>
  <c r="H164" i="4"/>
  <c r="I31" i="4"/>
  <c r="H14" i="2"/>
  <c r="I14" i="2" s="1"/>
  <c r="F14" i="4" s="1"/>
  <c r="H37" i="4"/>
  <c r="H37" i="2"/>
  <c r="I37" i="2" s="1"/>
  <c r="F37" i="4" s="1"/>
  <c r="H43" i="5"/>
  <c r="K43" i="4"/>
  <c r="H134" i="4"/>
  <c r="H134" i="2"/>
  <c r="I134" i="2" s="1"/>
  <c r="F134" i="4" s="1"/>
  <c r="H186" i="2"/>
  <c r="I186" i="2" s="1"/>
  <c r="F186" i="4" s="1"/>
  <c r="H217" i="2"/>
  <c r="I217" i="2" s="1"/>
  <c r="F217" i="4" s="1"/>
  <c r="G21" i="5"/>
  <c r="A21" i="5"/>
  <c r="F21" i="5"/>
  <c r="D21" i="5"/>
  <c r="E21" i="5"/>
  <c r="C21" i="5"/>
  <c r="B21" i="5"/>
  <c r="H241" i="2"/>
  <c r="I241" i="2" s="1"/>
  <c r="F241" i="4" s="1"/>
  <c r="I9" i="4"/>
  <c r="F37" i="5"/>
  <c r="E37" i="5"/>
  <c r="C37" i="5"/>
  <c r="B37" i="5"/>
  <c r="A37" i="5"/>
  <c r="G37" i="5"/>
  <c r="H119" i="2"/>
  <c r="I119" i="2" s="1"/>
  <c r="F119" i="4" s="1"/>
  <c r="H157" i="2"/>
  <c r="I157" i="2" s="1"/>
  <c r="F157" i="4" s="1"/>
  <c r="H157" i="4"/>
  <c r="H187" i="2"/>
  <c r="I187" i="2" s="1"/>
  <c r="F187" i="4" s="1"/>
  <c r="H187" i="4"/>
  <c r="H195" i="2"/>
  <c r="I195" i="2" s="1"/>
  <c r="F195" i="4" s="1"/>
  <c r="H195" i="4"/>
  <c r="H218" i="4"/>
  <c r="H218" i="2"/>
  <c r="I218" i="2" s="1"/>
  <c r="F218" i="4" s="1"/>
  <c r="H273" i="2"/>
  <c r="I273" i="2" s="1"/>
  <c r="F273" i="4" s="1"/>
  <c r="H266" i="4"/>
  <c r="H266" i="2"/>
  <c r="I266" i="2" s="1"/>
  <c r="F266" i="4" s="1"/>
  <c r="J45" i="5"/>
  <c r="N45" i="5"/>
  <c r="M45" i="5"/>
  <c r="L45" i="5"/>
  <c r="K45" i="5"/>
  <c r="H30" i="2"/>
  <c r="I30" i="2" s="1"/>
  <c r="F30" i="4" s="1"/>
  <c r="H46" i="4"/>
  <c r="H46" i="2"/>
  <c r="I46" i="2" s="1"/>
  <c r="F46" i="4" s="1"/>
  <c r="H127" i="4"/>
  <c r="H127" i="2"/>
  <c r="I127" i="2" s="1"/>
  <c r="F127" i="4" s="1"/>
  <c r="H288" i="2"/>
  <c r="I288" i="2" s="1"/>
  <c r="F288" i="4" s="1"/>
  <c r="H188" i="4"/>
  <c r="H188" i="2"/>
  <c r="I188" i="2" s="1"/>
  <c r="F188" i="4" s="1"/>
  <c r="H23" i="5"/>
  <c r="K23" i="4"/>
  <c r="H112" i="2"/>
  <c r="I112" i="2" s="1"/>
  <c r="F112" i="4" s="1"/>
  <c r="H112" i="4"/>
  <c r="H181" i="2"/>
  <c r="I181" i="2" s="1"/>
  <c r="F181" i="4" s="1"/>
  <c r="H204" i="2"/>
  <c r="I204" i="2" s="1"/>
  <c r="F204" i="4" s="1"/>
  <c r="H328" i="2"/>
  <c r="I328" i="2" s="1"/>
  <c r="F328" i="4" s="1"/>
  <c r="E26" i="5"/>
  <c r="C26" i="5"/>
  <c r="B26" i="5"/>
  <c r="A26" i="5"/>
  <c r="G26" i="5"/>
  <c r="F26" i="5"/>
  <c r="D26" i="5"/>
  <c r="H61" i="2"/>
  <c r="I61" i="2" s="1"/>
  <c r="F61" i="4" s="1"/>
  <c r="H136" i="2"/>
  <c r="I136" i="2" s="1"/>
  <c r="F136" i="4" s="1"/>
  <c r="H174" i="4"/>
  <c r="H174" i="2"/>
  <c r="I174" i="2" s="1"/>
  <c r="F174" i="4" s="1"/>
  <c r="H62" i="4"/>
  <c r="I197" i="4"/>
  <c r="H98" i="2"/>
  <c r="I98" i="2" s="1"/>
  <c r="F98" i="4" s="1"/>
  <c r="H290" i="4"/>
  <c r="H290" i="2"/>
  <c r="I290" i="2" s="1"/>
  <c r="F290" i="4" s="1"/>
  <c r="H168" i="2"/>
  <c r="I168" i="2" s="1"/>
  <c r="F168" i="4" s="1"/>
  <c r="H168" i="4"/>
  <c r="H10" i="2"/>
  <c r="I10" i="2" s="1"/>
  <c r="F10" i="4" s="1"/>
  <c r="H35" i="4"/>
  <c r="H11" i="2"/>
  <c r="I11" i="2" s="1"/>
  <c r="F11" i="4" s="1"/>
  <c r="H41" i="2"/>
  <c r="I41" i="2" s="1"/>
  <c r="F41" i="4" s="1"/>
  <c r="H41" i="5"/>
  <c r="K41" i="4"/>
  <c r="H45" i="5"/>
  <c r="K45" i="4"/>
  <c r="H235" i="2"/>
  <c r="I235" i="2" s="1"/>
  <c r="F235" i="4" s="1"/>
  <c r="H143" i="4"/>
  <c r="H143" i="2"/>
  <c r="I143" i="2" s="1"/>
  <c r="F143" i="4" s="1"/>
  <c r="H228" i="2"/>
  <c r="I228" i="2" s="1"/>
  <c r="F228" i="4" s="1"/>
  <c r="H228" i="4"/>
  <c r="H24" i="2"/>
  <c r="I24" i="2" s="1"/>
  <c r="F24" i="4" s="1"/>
  <c r="F31" i="5"/>
  <c r="E31" i="5"/>
  <c r="C31" i="5"/>
  <c r="B31" i="5"/>
  <c r="G31" i="5"/>
  <c r="D31" i="5"/>
  <c r="A31" i="5"/>
  <c r="H92" i="2"/>
  <c r="I92" i="2" s="1"/>
  <c r="F92" i="4" s="1"/>
  <c r="I83" i="4"/>
  <c r="H55" i="2"/>
  <c r="I55" i="2" s="1"/>
  <c r="F55" i="4" s="1"/>
  <c r="H69" i="2"/>
  <c r="I69" i="2" s="1"/>
  <c r="F69" i="4" s="1"/>
  <c r="H137" i="4"/>
  <c r="H137" i="2"/>
  <c r="I137" i="2" s="1"/>
  <c r="F137" i="4" s="1"/>
  <c r="H167" i="2"/>
  <c r="I167" i="2" s="1"/>
  <c r="F167" i="4" s="1"/>
  <c r="H113" i="4"/>
  <c r="H151" i="2"/>
  <c r="I151" i="2" s="1"/>
  <c r="F151" i="4" s="1"/>
  <c r="H252" i="2"/>
  <c r="I252" i="2" s="1"/>
  <c r="F252" i="4" s="1"/>
  <c r="H322" i="4"/>
  <c r="H322" i="2"/>
  <c r="I322" i="2" s="1"/>
  <c r="F322" i="4" s="1"/>
  <c r="H17" i="2"/>
  <c r="I17" i="2" s="1"/>
  <c r="F17" i="4" s="1"/>
  <c r="H35" i="5"/>
  <c r="K35" i="4"/>
  <c r="H190" i="2"/>
  <c r="I190" i="2" s="1"/>
  <c r="F190" i="4" s="1"/>
  <c r="H307" i="2"/>
  <c r="I307" i="2" s="1"/>
  <c r="F307" i="4" s="1"/>
  <c r="H307" i="4"/>
  <c r="H16" i="5"/>
  <c r="H3" i="2"/>
  <c r="I3" i="2" s="1"/>
  <c r="F3" i="4" s="1"/>
  <c r="G11" i="5" s="1"/>
  <c r="H93" i="2"/>
  <c r="I93" i="2" s="1"/>
  <c r="F93" i="4" s="1"/>
  <c r="H222" i="4"/>
  <c r="H222" i="2"/>
  <c r="I222" i="2" s="1"/>
  <c r="F222" i="4" s="1"/>
  <c r="F33" i="5"/>
  <c r="E33" i="5"/>
  <c r="C33" i="5"/>
  <c r="B33" i="5"/>
  <c r="D33" i="5"/>
  <c r="A33" i="5"/>
  <c r="G33" i="5"/>
  <c r="H79" i="2"/>
  <c r="I79" i="2" s="1"/>
  <c r="F79" i="4" s="1"/>
  <c r="H79" i="4"/>
  <c r="I191" i="4"/>
  <c r="H191" i="2"/>
  <c r="I191" i="2" s="1"/>
  <c r="F191" i="4" s="1"/>
  <c r="H34" i="4"/>
  <c r="H34" i="2"/>
  <c r="I34" i="2" s="1"/>
  <c r="F34" i="4" s="1"/>
  <c r="H64" i="2"/>
  <c r="I64" i="2" s="1"/>
  <c r="F64" i="4" s="1"/>
  <c r="H116" i="2"/>
  <c r="I116" i="2" s="1"/>
  <c r="F116" i="4" s="1"/>
  <c r="H116" i="4"/>
  <c r="H123" i="2"/>
  <c r="I123" i="2" s="1"/>
  <c r="F123" i="4" s="1"/>
  <c r="H123" i="4"/>
  <c r="H261" i="2"/>
  <c r="I261" i="2" s="1"/>
  <c r="F261" i="4" s="1"/>
  <c r="K21" i="4"/>
  <c r="G19" i="5"/>
  <c r="F19" i="5"/>
  <c r="A19" i="5"/>
  <c r="B19" i="5"/>
  <c r="E19" i="5"/>
  <c r="D19" i="5"/>
  <c r="C19" i="5"/>
  <c r="K34" i="4"/>
  <c r="H34" i="5"/>
  <c r="H85" i="2"/>
  <c r="I85" i="2" s="1"/>
  <c r="F85" i="4" s="1"/>
  <c r="H159" i="2"/>
  <c r="I159" i="2" s="1"/>
  <c r="F159" i="4" s="1"/>
  <c r="J39" i="5"/>
  <c r="K39" i="5"/>
  <c r="M39" i="5"/>
  <c r="H25" i="5"/>
  <c r="K25" i="4"/>
  <c r="H78" i="2"/>
  <c r="I78" i="2" s="1"/>
  <c r="F78" i="4" s="1"/>
  <c r="H78" i="4"/>
  <c r="H99" i="2"/>
  <c r="I99" i="2" s="1"/>
  <c r="F99" i="4" s="1"/>
  <c r="H152" i="2"/>
  <c r="I152" i="2" s="1"/>
  <c r="F152" i="4" s="1"/>
  <c r="H152" i="4"/>
  <c r="H253" i="4"/>
  <c r="H253" i="2"/>
  <c r="I253" i="2" s="1"/>
  <c r="F253" i="4" s="1"/>
  <c r="K16" i="5"/>
  <c r="N16" i="5" s="1"/>
  <c r="H49" i="2"/>
  <c r="I49" i="2" s="1"/>
  <c r="F49" i="4" s="1"/>
  <c r="H86" i="2"/>
  <c r="I86" i="2" s="1"/>
  <c r="F86" i="4" s="1"/>
  <c r="H122" i="2"/>
  <c r="I122" i="2" s="1"/>
  <c r="F122" i="4" s="1"/>
  <c r="H160" i="2"/>
  <c r="I160" i="2" s="1"/>
  <c r="F160" i="4" s="1"/>
  <c r="H71" i="2"/>
  <c r="I71" i="2" s="1"/>
  <c r="F71" i="4" s="1"/>
  <c r="H71" i="4"/>
  <c r="H131" i="2"/>
  <c r="I131" i="2" s="1"/>
  <c r="F131" i="4" s="1"/>
  <c r="H131" i="4"/>
  <c r="H178" i="4"/>
  <c r="H178" i="2"/>
  <c r="I178" i="2" s="1"/>
  <c r="F178" i="4" s="1"/>
  <c r="H215" i="2"/>
  <c r="I215" i="2" s="1"/>
  <c r="F215" i="4" s="1"/>
  <c r="H215" i="4"/>
  <c r="H239" i="2"/>
  <c r="I239" i="2" s="1"/>
  <c r="F239" i="4" s="1"/>
  <c r="H239" i="4"/>
  <c r="H301" i="2"/>
  <c r="I301" i="2" s="1"/>
  <c r="F301" i="4" s="1"/>
  <c r="H301" i="4"/>
  <c r="H153" i="4"/>
  <c r="H259" i="2"/>
  <c r="I259" i="2" s="1"/>
  <c r="F259" i="4" s="1"/>
  <c r="H259" i="4"/>
  <c r="I229" i="4"/>
  <c r="H229" i="2"/>
  <c r="I229" i="2" s="1"/>
  <c r="F229" i="4" s="1"/>
  <c r="H51" i="2"/>
  <c r="I51" i="2" s="1"/>
  <c r="F51" i="4" s="1"/>
  <c r="H72" i="4"/>
  <c r="H72" i="2"/>
  <c r="I72" i="2" s="1"/>
  <c r="F72" i="4" s="1"/>
  <c r="H146" i="4"/>
  <c r="H146" i="2"/>
  <c r="I146" i="2" s="1"/>
  <c r="F146" i="4" s="1"/>
  <c r="H200" i="2"/>
  <c r="I200" i="2" s="1"/>
  <c r="F200" i="4" s="1"/>
  <c r="H150" i="4"/>
  <c r="H150" i="2"/>
  <c r="I150" i="2" s="1"/>
  <c r="F150" i="4" s="1"/>
  <c r="H39" i="5"/>
  <c r="K39" i="4"/>
  <c r="H8" i="2"/>
  <c r="I8" i="2" s="1"/>
  <c r="F8" i="4" s="1"/>
  <c r="H50" i="4"/>
  <c r="H50" i="2"/>
  <c r="I50" i="2" s="1"/>
  <c r="F50" i="4" s="1"/>
  <c r="H130" i="2"/>
  <c r="I130" i="2" s="1"/>
  <c r="F130" i="4" s="1"/>
  <c r="H212" i="2"/>
  <c r="I212" i="2" s="1"/>
  <c r="F212" i="4" s="1"/>
  <c r="H247" i="4"/>
  <c r="H247" i="2"/>
  <c r="I247" i="2" s="1"/>
  <c r="F247" i="4" s="1"/>
  <c r="H260" i="2"/>
  <c r="I260" i="2" s="1"/>
  <c r="F260" i="4" s="1"/>
  <c r="E32" i="5"/>
  <c r="G32" i="5"/>
  <c r="F32" i="5"/>
  <c r="D32" i="5"/>
  <c r="A32" i="5"/>
  <c r="M16" i="5"/>
  <c r="H219" i="2"/>
  <c r="I219" i="2" s="1"/>
  <c r="F219" i="4" s="1"/>
  <c r="H219" i="4"/>
  <c r="H295" i="4"/>
  <c r="H295" i="2"/>
  <c r="I295" i="2" s="1"/>
  <c r="F295" i="4" s="1"/>
  <c r="H21" i="2"/>
  <c r="I21" i="2" s="1"/>
  <c r="F21" i="4" s="1"/>
  <c r="H84" i="2"/>
  <c r="I84" i="2" s="1"/>
  <c r="F84" i="4" s="1"/>
  <c r="H104" i="2"/>
  <c r="I104" i="2" s="1"/>
  <c r="F104" i="4" s="1"/>
  <c r="H124" i="2"/>
  <c r="I124" i="2" s="1"/>
  <c r="F124" i="4" s="1"/>
  <c r="H144" i="2"/>
  <c r="I144" i="2" s="1"/>
  <c r="F144" i="4" s="1"/>
  <c r="H165" i="2"/>
  <c r="I165" i="2" s="1"/>
  <c r="F165" i="4" s="1"/>
  <c r="H316" i="2"/>
  <c r="I316" i="2" s="1"/>
  <c r="F316" i="4" s="1"/>
  <c r="H323" i="4"/>
  <c r="H323" i="2"/>
  <c r="I323" i="2" s="1"/>
  <c r="F323" i="4" s="1"/>
  <c r="K40" i="5"/>
  <c r="J40" i="5"/>
  <c r="N40" i="5"/>
  <c r="M40" i="5"/>
  <c r="H291" i="2"/>
  <c r="I291" i="2" s="1"/>
  <c r="F291" i="4" s="1"/>
  <c r="H250" i="4"/>
  <c r="H250" i="2"/>
  <c r="I250" i="2" s="1"/>
  <c r="F250" i="4" s="1"/>
  <c r="H121" i="4"/>
  <c r="H24" i="5"/>
  <c r="H30" i="5"/>
  <c r="H5" i="2"/>
  <c r="I5" i="2" s="1"/>
  <c r="F5" i="4" s="1"/>
  <c r="H230" i="2"/>
  <c r="I230" i="2" s="1"/>
  <c r="F230" i="4" s="1"/>
  <c r="H230" i="4"/>
  <c r="H224" i="4"/>
  <c r="H100" i="4"/>
  <c r="H100" i="2"/>
  <c r="I100" i="2" s="1"/>
  <c r="F100" i="4" s="1"/>
  <c r="H223" i="2"/>
  <c r="I223" i="2" s="1"/>
  <c r="F223" i="4" s="1"/>
  <c r="H326" i="4"/>
  <c r="H326" i="2"/>
  <c r="I326" i="2" s="1"/>
  <c r="F326" i="4" s="1"/>
  <c r="H271" i="4"/>
  <c r="H271" i="2"/>
  <c r="I271" i="2" s="1"/>
  <c r="F271" i="4" s="1"/>
  <c r="H216" i="4"/>
  <c r="H216" i="2"/>
  <c r="I216" i="2" s="1"/>
  <c r="F216" i="4" s="1"/>
  <c r="H244" i="2"/>
  <c r="I244" i="2" s="1"/>
  <c r="F244" i="4" s="1"/>
  <c r="H299" i="4"/>
  <c r="H299" i="2"/>
  <c r="I299" i="2" s="1"/>
  <c r="F299" i="4" s="1"/>
  <c r="H313" i="2"/>
  <c r="I313" i="2" s="1"/>
  <c r="F313" i="4" s="1"/>
  <c r="H115" i="2"/>
  <c r="I115" i="2" s="1"/>
  <c r="F115" i="4" s="1"/>
  <c r="H169" i="4"/>
  <c r="H169" i="2"/>
  <c r="I169" i="2" s="1"/>
  <c r="F169" i="4" s="1"/>
  <c r="H189" i="2"/>
  <c r="I189" i="2" s="1"/>
  <c r="F189" i="4" s="1"/>
  <c r="H203" i="4"/>
  <c r="H203" i="2"/>
  <c r="I203" i="2" s="1"/>
  <c r="F203" i="4" s="1"/>
  <c r="H278" i="4"/>
  <c r="H278" i="2"/>
  <c r="I278" i="2" s="1"/>
  <c r="F278" i="4" s="1"/>
  <c r="H209" i="4"/>
  <c r="H319" i="2"/>
  <c r="I319" i="2" s="1"/>
  <c r="F319" i="4" s="1"/>
  <c r="H319" i="4"/>
  <c r="H17" i="5"/>
  <c r="K17" i="4"/>
  <c r="H39" i="2"/>
  <c r="I39" i="2" s="1"/>
  <c r="F39" i="4" s="1"/>
  <c r="H6" i="4"/>
  <c r="K17" i="5" s="1"/>
  <c r="N17" i="5" s="1"/>
  <c r="H6" i="2"/>
  <c r="I6" i="2" s="1"/>
  <c r="F6" i="4" s="1"/>
  <c r="H12" i="2"/>
  <c r="I12" i="2" s="1"/>
  <c r="F12" i="4" s="1"/>
  <c r="H196" i="2"/>
  <c r="I196" i="2" s="1"/>
  <c r="F196" i="4" s="1"/>
  <c r="H292" i="2"/>
  <c r="I292" i="2" s="1"/>
  <c r="F292" i="4" s="1"/>
  <c r="H18" i="4"/>
  <c r="H161" i="2"/>
  <c r="I161" i="2" s="1"/>
  <c r="F161" i="4" s="1"/>
  <c r="I19" i="4"/>
  <c r="H19" i="2"/>
  <c r="I19" i="2" s="1"/>
  <c r="F19" i="4" s="1"/>
  <c r="H272" i="2"/>
  <c r="I272" i="2" s="1"/>
  <c r="F272" i="4" s="1"/>
  <c r="H300" i="2"/>
  <c r="I300" i="2" s="1"/>
  <c r="F300" i="4" s="1"/>
  <c r="K40" i="4"/>
  <c r="H40" i="5"/>
  <c r="H91" i="4"/>
  <c r="H91" i="2"/>
  <c r="I91" i="2" s="1"/>
  <c r="F91" i="4" s="1"/>
  <c r="J31" i="5"/>
  <c r="K31" i="5"/>
  <c r="L31" i="5"/>
  <c r="K35" i="5"/>
  <c r="L44" i="5"/>
  <c r="K44" i="5"/>
  <c r="J44" i="5"/>
  <c r="K28" i="4"/>
  <c r="H28" i="5"/>
  <c r="H135" i="2"/>
  <c r="I135" i="2" s="1"/>
  <c r="F135" i="4" s="1"/>
  <c r="H166" i="4"/>
  <c r="H166" i="2"/>
  <c r="I166" i="2" s="1"/>
  <c r="F166" i="4" s="1"/>
  <c r="H317" i="4"/>
  <c r="L35" i="5"/>
  <c r="J27" i="5"/>
  <c r="L27" i="5"/>
  <c r="L28" i="5"/>
  <c r="K28" i="5"/>
  <c r="J28" i="5"/>
  <c r="H7" i="4"/>
  <c r="M18" i="5"/>
  <c r="L18" i="5"/>
  <c r="K18" i="5"/>
  <c r="N18" i="5" s="1"/>
  <c r="G18" i="5"/>
  <c r="F18" i="5"/>
  <c r="A18" i="5"/>
  <c r="J37" i="5"/>
  <c r="N37" i="5"/>
  <c r="M37" i="5"/>
  <c r="L17" i="5"/>
  <c r="H207" i="4"/>
  <c r="D18" i="5"/>
  <c r="H175" i="2"/>
  <c r="I175" i="2" s="1"/>
  <c r="F175" i="4" s="1"/>
  <c r="H175" i="4"/>
  <c r="H163" i="2"/>
  <c r="I163" i="2" s="1"/>
  <c r="F163" i="4" s="1"/>
  <c r="K18" i="4"/>
  <c r="E18" i="5"/>
  <c r="K44" i="4"/>
  <c r="H44" i="5"/>
  <c r="H327" i="2"/>
  <c r="I327" i="2" s="1"/>
  <c r="F327" i="4" s="1"/>
  <c r="H32" i="2"/>
  <c r="I32" i="2" s="1"/>
  <c r="F32" i="4" s="1"/>
  <c r="H82" i="2"/>
  <c r="I82" i="2" s="1"/>
  <c r="F82" i="4" s="1"/>
  <c r="H114" i="2"/>
  <c r="I114" i="2" s="1"/>
  <c r="F114" i="4" s="1"/>
  <c r="H226" i="2"/>
  <c r="I226" i="2" s="1"/>
  <c r="F226" i="4" s="1"/>
  <c r="H238" i="2"/>
  <c r="I238" i="2" s="1"/>
  <c r="F238" i="4" s="1"/>
  <c r="H245" i="2"/>
  <c r="I245" i="2" s="1"/>
  <c r="F245" i="4" s="1"/>
  <c r="H251" i="2"/>
  <c r="I251" i="2" s="1"/>
  <c r="F251" i="4" s="1"/>
  <c r="H276" i="2"/>
  <c r="I276" i="2" s="1"/>
  <c r="F276" i="4" s="1"/>
  <c r="H282" i="2"/>
  <c r="I282" i="2" s="1"/>
  <c r="F282" i="4" s="1"/>
  <c r="H251" i="4"/>
  <c r="H321" i="4"/>
  <c r="K20" i="4"/>
  <c r="H20" i="5"/>
  <c r="J23" i="5"/>
  <c r="K23" i="5"/>
  <c r="H193" i="4"/>
  <c r="H141" i="4"/>
  <c r="H305" i="4"/>
  <c r="J29" i="5"/>
  <c r="N29" i="5"/>
  <c r="M29" i="5"/>
  <c r="L36" i="5"/>
  <c r="K36" i="5"/>
  <c r="J36" i="5"/>
  <c r="H257" i="2"/>
  <c r="I257" i="2" s="1"/>
  <c r="F257" i="4" s="1"/>
  <c r="L25" i="5"/>
  <c r="L33" i="5"/>
  <c r="L41" i="5"/>
  <c r="M25" i="5"/>
  <c r="M33" i="5"/>
  <c r="M41" i="5"/>
  <c r="N25" i="5"/>
  <c r="N33" i="5"/>
  <c r="N41" i="5"/>
  <c r="M48" i="5"/>
  <c r="J49" i="5"/>
  <c r="K49" i="5"/>
  <c r="M49" i="5"/>
  <c r="E42" i="5" l="1"/>
  <c r="C42" i="5"/>
  <c r="B42" i="5"/>
  <c r="A42" i="5"/>
  <c r="G42" i="5"/>
  <c r="D42" i="5"/>
  <c r="F42" i="5"/>
  <c r="F17" i="5"/>
  <c r="E17" i="5"/>
  <c r="C17" i="5"/>
  <c r="B17" i="5"/>
  <c r="G17" i="5"/>
  <c r="D17" i="5"/>
  <c r="A17" i="5"/>
  <c r="E44" i="5"/>
  <c r="G44" i="5"/>
  <c r="F44" i="5"/>
  <c r="D44" i="5"/>
  <c r="A44" i="5"/>
  <c r="C44" i="5"/>
  <c r="B44" i="5"/>
  <c r="E30" i="5"/>
  <c r="A30" i="5"/>
  <c r="G30" i="5"/>
  <c r="C30" i="5"/>
  <c r="F30" i="5"/>
  <c r="D30" i="5"/>
  <c r="B30" i="5"/>
  <c r="E34" i="5"/>
  <c r="C34" i="5"/>
  <c r="B34" i="5"/>
  <c r="A34" i="5"/>
  <c r="F34" i="5"/>
  <c r="G34" i="5"/>
  <c r="D34" i="5"/>
  <c r="E28" i="5"/>
  <c r="G28" i="5"/>
  <c r="F28" i="5"/>
  <c r="D28" i="5"/>
  <c r="C28" i="5"/>
  <c r="B28" i="5"/>
  <c r="A28" i="5"/>
  <c r="E24" i="5"/>
  <c r="G24" i="5"/>
  <c r="F24" i="5"/>
  <c r="A24" i="5"/>
  <c r="D24" i="5"/>
  <c r="C24" i="5"/>
  <c r="B24" i="5"/>
  <c r="F27" i="5"/>
  <c r="E27" i="5"/>
  <c r="C27" i="5"/>
  <c r="B27" i="5"/>
  <c r="G27" i="5"/>
  <c r="D27" i="5"/>
  <c r="A27" i="5"/>
  <c r="F43" i="5"/>
  <c r="E43" i="5"/>
  <c r="C43" i="5"/>
  <c r="B43" i="5"/>
  <c r="G43" i="5"/>
  <c r="A43" i="5"/>
  <c r="D43" i="5"/>
  <c r="C16" i="5"/>
  <c r="A16" i="5"/>
  <c r="G16" i="5"/>
  <c r="F16" i="5"/>
  <c r="E16" i="5"/>
  <c r="D16" i="5"/>
  <c r="B16" i="5"/>
  <c r="E38" i="5"/>
  <c r="F38" i="5"/>
  <c r="D38" i="5"/>
  <c r="C38" i="5"/>
  <c r="G38" i="5"/>
  <c r="B38" i="5"/>
  <c r="A38" i="5"/>
  <c r="F35" i="5"/>
  <c r="E35" i="5"/>
  <c r="C35" i="5"/>
  <c r="B35" i="5"/>
  <c r="D35" i="5"/>
  <c r="G35" i="5"/>
  <c r="A35" i="5"/>
  <c r="F45" i="5"/>
  <c r="E45" i="5"/>
  <c r="C45" i="5"/>
  <c r="B45" i="5"/>
  <c r="G45" i="5"/>
  <c r="D45" i="5"/>
  <c r="A45" i="5"/>
  <c r="E36" i="5"/>
  <c r="G36" i="5"/>
  <c r="F36" i="5"/>
  <c r="D36" i="5"/>
  <c r="C36" i="5"/>
  <c r="B36" i="5"/>
  <c r="A36" i="5"/>
  <c r="E20" i="5"/>
  <c r="D20" i="5"/>
  <c r="B20" i="5"/>
  <c r="A20" i="5"/>
  <c r="G20" i="5"/>
  <c r="C20" i="5"/>
  <c r="F20" i="5"/>
  <c r="F39" i="5"/>
  <c r="E39" i="5"/>
  <c r="C39" i="5"/>
  <c r="B39" i="5"/>
  <c r="G39" i="5"/>
  <c r="D39" i="5"/>
  <c r="A39" i="5"/>
  <c r="E40" i="5"/>
  <c r="G40" i="5"/>
  <c r="F40" i="5"/>
  <c r="D40" i="5"/>
  <c r="C40" i="5"/>
  <c r="B40" i="5"/>
  <c r="A40" i="5"/>
  <c r="F41" i="5"/>
  <c r="E41" i="5"/>
  <c r="C41" i="5"/>
  <c r="B41" i="5"/>
  <c r="D41" i="5"/>
  <c r="A41" i="5"/>
  <c r="G41" i="5"/>
  <c r="F23" i="5"/>
  <c r="E23" i="5"/>
  <c r="C23" i="5"/>
  <c r="B23" i="5"/>
  <c r="G23" i="5"/>
  <c r="D23" i="5"/>
  <c r="A23" i="5"/>
  <c r="S2" i="5"/>
  <c r="D11" i="5"/>
  <c r="I7" i="5"/>
  <c r="J11" i="5" s="1"/>
  <c r="F25" i="5"/>
  <c r="E25" i="5"/>
  <c r="C25" i="5"/>
  <c r="B25" i="5"/>
  <c r="G25" i="5"/>
  <c r="D25" i="5"/>
  <c r="A25" i="5"/>
  <c r="G22" i="5"/>
  <c r="F22" i="5"/>
  <c r="C22" i="5"/>
  <c r="B22" i="5"/>
  <c r="E22" i="5"/>
  <c r="A22" i="5"/>
  <c r="D22" i="5"/>
  <c r="M17" i="5"/>
  <c r="F29" i="5"/>
  <c r="E29" i="5"/>
  <c r="C29" i="5"/>
  <c r="B29" i="5"/>
  <c r="G29" i="5"/>
  <c r="D29" i="5"/>
  <c r="A29" i="5"/>
</calcChain>
</file>

<file path=xl/sharedStrings.xml><?xml version="1.0" encoding="utf-8"?>
<sst xmlns="http://schemas.openxmlformats.org/spreadsheetml/2006/main" count="3611" uniqueCount="122">
  <si>
    <t>DIALOGO  DIARIA DE SEGURIDAD</t>
  </si>
  <si>
    <t>CÓDIGO:</t>
  </si>
  <si>
    <t>REVISIÓN:</t>
  </si>
  <si>
    <t>AVANCE CAPACITACIONES ANEXO 6 - 2026</t>
  </si>
  <si>
    <t>%</t>
  </si>
  <si>
    <t>DIAS DEL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</si>
  <si>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</si>
  <si>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</si>
  <si>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</si>
  <si>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</si>
  <si>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</si>
  <si>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</si>
  <si>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</si>
  <si>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</si>
  <si>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</si>
  <si>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</si>
  <si>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</si>
  <si>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</si>
  <si>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TEMAS</t>
  </si>
  <si>
    <t>TIPOS DE SOSTENIMIENTO</t>
  </si>
  <si>
    <t>IPERC</t>
  </si>
  <si>
    <t>INSPECCIONES DE EQUIPOS BAJO PERFIL</t>
  </si>
  <si>
    <t>RESPUESTAS A EMERGENCIAS POR AREAS ESPECIFICIAS</t>
  </si>
  <si>
    <t>DIA MUNDIAL DEL MEDIO AMBIENTE</t>
  </si>
  <si>
    <t>IMPORTANCIA DEL USO DE GUARDAS DE SEGURIDAD EN EQUIPOS DE ROTACION</t>
  </si>
  <si>
    <t>RESPONSABILIDAD AMBIENTAL</t>
  </si>
  <si>
    <t>PERFORACION Y VOLADRUA</t>
  </si>
  <si>
    <t>USO DE EQUIPO DE PODER</t>
  </si>
  <si>
    <t>PRIMEROS AUXILIOS</t>
  </si>
  <si>
    <t>MANEJO DE TRASPORTE DE EXPLOSIVOS</t>
  </si>
  <si>
    <t>USO DE ESCALERAS</t>
  </si>
  <si>
    <t>USO RACIOANL DE ENERGIA</t>
  </si>
  <si>
    <t>VENTILACION DE LABORES</t>
  </si>
  <si>
    <t>CONTROL DE SUSTANCIAS PELIGROSAS</t>
  </si>
  <si>
    <t>HERRAMIENTAS MANUALES</t>
  </si>
  <si>
    <t>DESCANOS MEDICOS</t>
  </si>
  <si>
    <t>HOJAS MSDS</t>
  </si>
  <si>
    <t>PELIGRO DE PUNTOS CIEGOS</t>
  </si>
  <si>
    <t>Respuesta a Emergencias por Áreas específicas.</t>
  </si>
  <si>
    <t>Primeros Auxilios</t>
  </si>
  <si>
    <t>Notificación, investigación  y reporte de incidentes , incidentes peligrosos y accidentes de trabajo.</t>
  </si>
  <si>
    <t>Trabajos en Altura</t>
  </si>
  <si>
    <t>Prevención y Protección  Contra Incendio</t>
  </si>
  <si>
    <t>Gestión de la Seguridad y Salud Ocupacional basado en el Reglamento de Seguridad y Salud Ocupacional, Política de Seguridad, Salud Ocupacional y Medio Ambiente.</t>
  </si>
  <si>
    <t>Mapa de riesgos</t>
  </si>
  <si>
    <t>Estándares y procedimiento escrito de trabajo seguro por actividades</t>
  </si>
  <si>
    <t>Significado y uso de código de señales y colores.</t>
  </si>
  <si>
    <t>Auditoría, fiscalización e Inspecciones de Seguridad</t>
  </si>
  <si>
    <t>Higiene Ocupacional (Agentes Físicos, Químicos y Biológicos) Disposición de residuos sólidos. Control de Sustancias peligrosas.</t>
  </si>
  <si>
    <t>Manejo defensivo y/o transporte de personal</t>
  </si>
  <si>
    <t xml:space="preserve">Comité de Seguridad y Salud Ocupacional. Reglamento Interno de Seguridad y Salud Ocupaciona. Programa Anual de Seguridad y Salud Ocupacional.  </t>
  </si>
  <si>
    <t>Seguridad en la Oficina y Ergonomía.</t>
  </si>
  <si>
    <t>Riesgos Psicosociales</t>
  </si>
  <si>
    <t>Riesgos Eléctricos</t>
  </si>
  <si>
    <t>Prevención de accidente por desprendimiento de rocas</t>
  </si>
  <si>
    <t>Prevención de accidente por gaseamiento</t>
  </si>
  <si>
    <t>Uso de Equipo de Protección Personal (EPP)</t>
  </si>
  <si>
    <t>Liderazgo y motivación: Seguridad basada en el Comportamiento.</t>
  </si>
  <si>
    <t>MINA CANDELARIA</t>
  </si>
  <si>
    <t>P</t>
  </si>
  <si>
    <t>PLANTA MAHUARA</t>
  </si>
  <si>
    <t>ADMINISTRACIÓN</t>
  </si>
  <si>
    <t xml:space="preserve">MANTENIMIENTO </t>
  </si>
  <si>
    <t>DESARROLLOS MINEROS</t>
  </si>
  <si>
    <t>CAMPAMENTO</t>
  </si>
  <si>
    <t>COMEDOR</t>
  </si>
  <si>
    <t>MEDIO AMBIENTE</t>
  </si>
  <si>
    <t>GEOLOGÍA</t>
  </si>
  <si>
    <t>LOGÍSTICA</t>
  </si>
  <si>
    <t>RENTACAR</t>
  </si>
  <si>
    <t>IRENE</t>
  </si>
  <si>
    <t>OBRAS CIVILES</t>
  </si>
  <si>
    <t>DIAMANTINA</t>
  </si>
  <si>
    <t>CONGEMIN</t>
  </si>
  <si>
    <t>C</t>
  </si>
  <si>
    <t>F</t>
  </si>
  <si>
    <t>EP</t>
  </si>
  <si>
    <t>Área Responsable</t>
  </si>
  <si>
    <t>Mes</t>
  </si>
  <si>
    <t>N° Mes</t>
  </si>
  <si>
    <t>Tema</t>
  </si>
  <si>
    <t>Guardia A</t>
  </si>
  <si>
    <t>Guardia B</t>
  </si>
  <si>
    <t>Guardia C</t>
  </si>
  <si>
    <t>Total cumplidas</t>
  </si>
  <si>
    <t>% Cumplimiento Tema</t>
  </si>
  <si>
    <t>Estado Programa</t>
  </si>
  <si>
    <t>Comité de Seguridad y Salud Ocupacional. Reglamento Interno de Seguridad y Salud Ocupaciona. Programa Anual de Seguridad y Salud Ocupacional.</t>
  </si>
  <si>
    <t>MANTENIMIENTO</t>
  </si>
  <si>
    <t>DASHBOARD DE CUMPLIMIENTO – CAPACITACIONES ANEXO 6</t>
  </si>
  <si>
    <t>Área seleccionada</t>
  </si>
  <si>
    <t>Cumplimiento del área</t>
  </si>
  <si>
    <t>Cumplidas</t>
  </si>
  <si>
    <t>En proceso</t>
  </si>
  <si>
    <t>Estado</t>
  </si>
  <si>
    <t>Cantidad</t>
  </si>
  <si>
    <t>Cumplimiento general</t>
  </si>
  <si>
    <t>Faltantes</t>
  </si>
  <si>
    <t>Leyenda: C = Cumplida   |   F = Falta   |   EP = En Proceso</t>
  </si>
  <si>
    <t>Área</t>
  </si>
  <si>
    <t>% Cumplimiento</t>
  </si>
  <si>
    <t>% Guardias</t>
  </si>
  <si>
    <t>Programado al corte</t>
  </si>
  <si>
    <t>Cumplimiento programa</t>
  </si>
  <si>
    <t>Fila Guardia</t>
  </si>
  <si>
    <t>DASHBOARD AVANZADO – CAPACITACIONES ANEXO 6</t>
  </si>
  <si>
    <t>Mes de corte</t>
  </si>
  <si>
    <t>Códigos</t>
  </si>
  <si>
    <t>C = Cumplida | F = Falta | EP = En proceso</t>
  </si>
  <si>
    <t>Temas programados</t>
  </si>
  <si>
    <t>Cumplimiento al corte</t>
  </si>
  <si>
    <t>Avance calendario</t>
  </si>
  <si>
    <t>Avance real anual</t>
  </si>
  <si>
    <t>Promedio guardias</t>
  </si>
  <si>
    <t>Brecha al corte</t>
  </si>
  <si>
    <t>TEMAS FALTANTES O EN PROCESO AL MES DE CORTE</t>
  </si>
  <si>
    <t>CUMPLIMIENTO POR GUARDIA</t>
  </si>
  <si>
    <t>N°</t>
  </si>
  <si>
    <t>Guardia</t>
  </si>
  <si>
    <t>CUMPLIMIENTO POR TEMA Y GUARDIA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</si>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</sst>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8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24"/>
      <color theme="1"/>
      <name val="Arial"/>
      <family val="2"/>
    </font>
    <font>
      <b/>
      <sz val="36"/>
      <color theme="0"/>
      <name val="Arial"/>
      <family val="2"/>
    </font>
    <font>
      <b/>
      <sz val="26"/>
      <color theme="0"/>
      <name val="Arial"/>
      <family val="2"/>
    </font>
    <font>
      <b/>
      <sz val="22"/>
      <color theme="0"/>
      <name val="Arial"/>
      <family val="2"/>
    </font>
    <font>
      <b/>
      <sz val="24"/>
      <color theme="0"/>
      <name val="Arial"/>
      <family val="2"/>
    </font>
    <font>
      <b/>
      <sz val="26"/>
      <color theme="1"/>
      <name val="Arial"/>
      <family val="2"/>
    </font>
    <font>
      <b/>
      <sz val="28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sz val="22"/>
      <color theme="1"/>
      <name val="Arial"/>
      <family val="2"/>
    </font>
    <font>
      <sz val="26"/>
      <color theme="1"/>
      <name val="Arial"/>
      <family val="2"/>
    </font>
    <font>
      <b/>
      <sz val="11"/>
      <color rgb="FFFFFFFF"/>
      <name val="Calibri"/>
      <family val="2"/>
    </font>
    <font>
      <sz val="24"/>
      <color theme="1"/>
      <name val="Calibri"/>
      <family val="2"/>
    </font>
    <font>
      <b/>
      <sz val="11"/>
      <color rgb="FF1F1F1F"/>
      <name val="Calibri"/>
      <family val="2"/>
    </font>
    <font>
      <b/>
      <sz val="11"/>
      <color rgb="FF1F4E78"/>
      <name val="Calibri"/>
      <family val="2"/>
    </font>
    <font>
      <b/>
      <sz val="11"/>
      <color theme="1"/>
      <name val="Calibri"/>
      <family val="2"/>
    </font>
    <font>
      <b/>
      <sz val="11"/>
      <color rgb="FF274E13"/>
      <name val="Calibri"/>
      <family val="2"/>
    </font>
    <font>
      <b/>
      <sz val="16"/>
      <color rgb="FFFFFFFF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37815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/>
    <xf numFmtId="0" fontId="1" fillId="0" borderId="0"/>
  </cellStyleXfs>
  <cellXfs count="117">
    <xf numFmtId="0" fontId="0" fillId="0" borderId="0" xfId="0"/>
    <xf numFmtId="0" fontId="2" fillId="0" borderId="0" xfId="2" applyFont="1"/>
    <xf numFmtId="0" fontId="11" fillId="3" borderId="7" xfId="2" applyFont="1" applyFill="1" applyBorder="1" applyAlignment="1">
      <alignment horizontal="center" vertical="center" wrapText="1"/>
    </xf>
    <xf numFmtId="3" fontId="12" fillId="4" borderId="1" xfId="2" applyNumberFormat="1" applyFont="1" applyFill="1" applyBorder="1" applyAlignment="1">
      <alignment wrapText="1"/>
    </xf>
    <xf numFmtId="0" fontId="14" fillId="4" borderId="13" xfId="2" applyFont="1" applyFill="1" applyBorder="1" applyAlignment="1">
      <alignment horizontal="left" vertical="center"/>
    </xf>
    <xf numFmtId="0" fontId="15" fillId="0" borderId="1" xfId="2" applyFont="1" applyBorder="1" applyAlignment="1">
      <alignment horizontal="center" vertical="center"/>
    </xf>
    <xf numFmtId="0" fontId="14" fillId="4" borderId="13" xfId="2" applyFont="1" applyFill="1" applyBorder="1" applyAlignment="1">
      <alignment horizontal="left" vertical="center" wrapText="1"/>
    </xf>
    <xf numFmtId="0" fontId="14" fillId="4" borderId="7" xfId="2" applyFont="1" applyFill="1" applyBorder="1" applyAlignment="1">
      <alignment horizontal="left" vertical="center"/>
    </xf>
    <xf numFmtId="0" fontId="8" fillId="2" borderId="12" xfId="2" applyFont="1" applyFill="1" applyBorder="1" applyAlignment="1">
      <alignment horizontal="center" vertical="center"/>
    </xf>
    <xf numFmtId="3" fontId="12" fillId="4" borderId="3" xfId="2" applyNumberFormat="1" applyFont="1" applyFill="1" applyBorder="1" applyAlignment="1">
      <alignment wrapText="1"/>
    </xf>
    <xf numFmtId="0" fontId="15" fillId="0" borderId="3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0" fillId="3" borderId="18" xfId="2" applyFont="1" applyFill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/>
    </xf>
    <xf numFmtId="164" fontId="9" fillId="2" borderId="1" xfId="2" applyNumberFormat="1" applyFont="1" applyFill="1" applyBorder="1" applyAlignment="1">
      <alignment horizontal="center" vertical="center"/>
    </xf>
    <xf numFmtId="164" fontId="9" fillId="2" borderId="3" xfId="2" applyNumberFormat="1" applyFont="1" applyFill="1" applyBorder="1" applyAlignment="1">
      <alignment horizontal="center" vertical="center"/>
    </xf>
    <xf numFmtId="164" fontId="9" fillId="2" borderId="19" xfId="2" applyNumberFormat="1" applyFont="1" applyFill="1" applyBorder="1" applyAlignment="1">
      <alignment horizontal="center" vertical="center"/>
    </xf>
    <xf numFmtId="9" fontId="0" fillId="0" borderId="0" xfId="0" applyNumberFormat="1"/>
    <xf numFmtId="0" fontId="14" fillId="4" borderId="15" xfId="2" applyFont="1" applyFill="1" applyBorder="1" applyAlignment="1">
      <alignment horizontal="left" vertical="center"/>
    </xf>
    <xf numFmtId="0" fontId="15" fillId="0" borderId="2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0" fontId="14" fillId="4" borderId="33" xfId="2" applyFont="1" applyFill="1" applyBorder="1" applyAlignment="1">
      <alignment horizontal="left" vertical="center"/>
    </xf>
    <xf numFmtId="0" fontId="18" fillId="0" borderId="33" xfId="0" applyFont="1" applyBorder="1"/>
    <xf numFmtId="9" fontId="18" fillId="0" borderId="33" xfId="1" applyFont="1" applyBorder="1"/>
    <xf numFmtId="9" fontId="1" fillId="0" borderId="33" xfId="1" applyBorder="1"/>
    <xf numFmtId="9" fontId="16" fillId="0" borderId="18" xfId="0" applyNumberFormat="1" applyFont="1" applyFill="1" applyBorder="1" applyAlignment="1">
      <alignment horizontal="center" vertical="center"/>
    </xf>
    <xf numFmtId="9" fontId="16" fillId="0" borderId="34" xfId="0" applyNumberFormat="1" applyFont="1" applyFill="1" applyBorder="1" applyAlignment="1">
      <alignment horizontal="center" vertical="center"/>
    </xf>
    <xf numFmtId="0" fontId="17" fillId="6" borderId="0" xfId="0" applyNumberFormat="1" applyFont="1" applyFill="1" applyBorder="1"/>
    <xf numFmtId="0" fontId="19" fillId="7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/>
    <xf numFmtId="9" fontId="0" fillId="0" borderId="0" xfId="0" applyNumberFormat="1" applyFont="1" applyFill="1" applyBorder="1"/>
    <xf numFmtId="0" fontId="17" fillId="16" borderId="33" xfId="0" applyNumberFormat="1" applyFont="1" applyFill="1" applyBorder="1" applyAlignment="1">
      <alignment horizontal="center" vertical="center" wrapText="1"/>
    </xf>
    <xf numFmtId="0" fontId="17" fillId="16" borderId="0" xfId="0" applyNumberFormat="1" applyFont="1" applyFill="1" applyBorder="1" applyAlignment="1">
      <alignment horizontal="center" vertical="center" wrapText="1"/>
    </xf>
    <xf numFmtId="0" fontId="19" fillId="17" borderId="0" xfId="0" applyNumberFormat="1" applyFont="1" applyFill="1" applyBorder="1" applyAlignment="1">
      <alignment horizontal="center" vertical="center"/>
    </xf>
    <xf numFmtId="0" fontId="17" fillId="16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/>
    <xf numFmtId="0" fontId="0" fillId="0" borderId="0" xfId="0" applyNumberFormat="1" applyFont="1" applyFill="1" applyAlignment="1">
      <alignment wrapText="1"/>
    </xf>
    <xf numFmtId="9" fontId="0" fillId="0" borderId="0" xfId="0" applyNumberFormat="1" applyFont="1" applyFill="1"/>
    <xf numFmtId="0" fontId="3" fillId="0" borderId="4" xfId="2" applyFont="1" applyBorder="1" applyAlignment="1">
      <alignment horizontal="center" vertical="top"/>
    </xf>
    <xf numFmtId="0" fontId="0" fillId="0" borderId="23" xfId="0" applyBorder="1"/>
    <xf numFmtId="0" fontId="0" fillId="0" borderId="24" xfId="0" applyBorder="1"/>
    <xf numFmtId="49" fontId="7" fillId="2" borderId="8" xfId="2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164" fontId="9" fillId="2" borderId="19" xfId="2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4" xfId="0" applyBorder="1"/>
    <xf numFmtId="0" fontId="5" fillId="0" borderId="5" xfId="2" applyFont="1" applyBorder="1" applyAlignment="1">
      <alignment horizontal="left" vertical="center"/>
    </xf>
    <xf numFmtId="0" fontId="0" fillId="0" borderId="22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49" fontId="6" fillId="2" borderId="9" xfId="2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0" xfId="0"/>
    <xf numFmtId="0" fontId="5" fillId="0" borderId="1" xfId="2" applyFont="1" applyBorder="1" applyAlignment="1">
      <alignment horizontal="left" vertical="center"/>
    </xf>
    <xf numFmtId="0" fontId="0" fillId="0" borderId="32" xfId="0" applyBorder="1"/>
    <xf numFmtId="0" fontId="5" fillId="0" borderId="6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0" fillId="0" borderId="26" xfId="0" applyBorder="1"/>
    <xf numFmtId="0" fontId="5" fillId="0" borderId="8" xfId="2" applyFont="1" applyBorder="1" applyAlignment="1">
      <alignment horizontal="center" vertical="center"/>
    </xf>
    <xf numFmtId="0" fontId="17" fillId="6" borderId="0" xfId="0" applyNumberFormat="1" applyFont="1" applyFill="1" applyBorder="1" applyAlignment="1">
      <alignment horizontal="center" vertical="center"/>
    </xf>
    <xf numFmtId="9" fontId="17" fillId="6" borderId="0" xfId="0" applyNumberFormat="1" applyFont="1" applyFill="1" applyBorder="1" applyAlignment="1">
      <alignment horizontal="center" vertical="center"/>
    </xf>
    <xf numFmtId="0" fontId="20" fillId="8" borderId="0" xfId="0" applyNumberFormat="1" applyFont="1" applyFill="1" applyBorder="1" applyAlignment="1">
      <alignment horizontal="center" vertical="center"/>
    </xf>
    <xf numFmtId="0" fontId="17" fillId="9" borderId="0" xfId="0" applyNumberFormat="1" applyFont="1" applyFill="1" applyBorder="1" applyAlignment="1">
      <alignment horizontal="center" vertical="center"/>
    </xf>
    <xf numFmtId="9" fontId="17" fillId="9" borderId="0" xfId="0" applyNumberFormat="1" applyFont="1" applyFill="1" applyBorder="1" applyAlignment="1">
      <alignment horizontal="center" vertical="center"/>
    </xf>
    <xf numFmtId="9" fontId="19" fillId="10" borderId="0" xfId="0" applyNumberFormat="1" applyFont="1" applyFill="1" applyBorder="1" applyAlignment="1">
      <alignment horizontal="center" vertical="center"/>
    </xf>
    <xf numFmtId="0" fontId="19" fillId="11" borderId="0" xfId="0" applyNumberFormat="1" applyFont="1" applyFill="1" applyBorder="1" applyAlignment="1">
      <alignment horizontal="center" vertical="center"/>
    </xf>
    <xf numFmtId="9" fontId="19" fillId="12" borderId="0" xfId="0" applyNumberFormat="1" applyFont="1" applyFill="1" applyBorder="1" applyAlignment="1">
      <alignment horizontal="center" vertical="center"/>
    </xf>
    <xf numFmtId="0" fontId="19" fillId="12" borderId="0" xfId="0" applyNumberFormat="1" applyFont="1" applyFill="1" applyBorder="1" applyAlignment="1">
      <alignment horizontal="center" vertical="center"/>
    </xf>
    <xf numFmtId="0" fontId="19" fillId="13" borderId="0" xfId="0" applyNumberFormat="1" applyFont="1" applyFill="1" applyBorder="1" applyAlignment="1">
      <alignment horizontal="center" vertical="center"/>
    </xf>
    <xf numFmtId="0" fontId="17" fillId="14" borderId="0" xfId="0" applyNumberFormat="1" applyFont="1" applyFill="1" applyBorder="1" applyAlignment="1">
      <alignment horizontal="center"/>
    </xf>
    <xf numFmtId="9" fontId="21" fillId="10" borderId="0" xfId="0" applyNumberFormat="1" applyFont="1" applyFill="1" applyBorder="1" applyAlignment="1">
      <alignment horizontal="center" vertical="center"/>
    </xf>
    <xf numFmtId="0" fontId="22" fillId="15" borderId="0" xfId="0" applyNumberFormat="1" applyFont="1" applyFill="1" applyBorder="1" applyAlignment="1">
      <alignment horizontal="center"/>
    </xf>
    <xf numFmtId="9" fontId="22" fillId="15" borderId="0" xfId="0" applyNumberFormat="1" applyFont="1" applyFill="1" applyBorder="1" applyAlignment="1">
      <alignment horizontal="center"/>
    </xf>
    <xf numFmtId="0" fontId="23" fillId="16" borderId="0" xfId="0" applyNumberFormat="1" applyFont="1" applyFill="1" applyBorder="1" applyAlignment="1">
      <alignment horizontal="center" vertical="center"/>
    </xf>
    <xf numFmtId="0" fontId="20" fillId="18" borderId="0" xfId="0" applyNumberFormat="1" applyFont="1" applyFill="1" applyAlignment="1">
      <alignment horizontal="center"/>
    </xf>
    <xf numFmtId="0" fontId="17" fillId="19" borderId="0" xfId="0" applyNumberFormat="1" applyFont="1" applyFill="1" applyBorder="1" applyAlignment="1">
      <alignment horizontal="center" vertical="center"/>
    </xf>
    <xf numFmtId="0" fontId="24" fillId="17" borderId="0" xfId="0" applyNumberFormat="1" applyFont="1" applyFill="1" applyAlignment="1">
      <alignment horizontal="center" vertical="center"/>
    </xf>
    <xf numFmtId="0" fontId="24" fillId="20" borderId="0" xfId="0" applyNumberFormat="1" applyFont="1" applyFill="1" applyAlignment="1">
      <alignment horizontal="center" vertical="center"/>
    </xf>
    <xf numFmtId="0" fontId="24" fillId="21" borderId="0" xfId="0" applyNumberFormat="1" applyFont="1" applyFill="1" applyAlignment="1">
      <alignment horizontal="center" vertical="center"/>
    </xf>
    <xf numFmtId="0" fontId="24" fillId="22" borderId="0" xfId="0" applyNumberFormat="1" applyFont="1" applyFill="1" applyAlignment="1">
      <alignment horizontal="center" vertical="center"/>
    </xf>
    <xf numFmtId="9" fontId="24" fillId="23" borderId="0" xfId="0" applyNumberFormat="1" applyFont="1" applyFill="1" applyAlignment="1">
      <alignment horizontal="center" vertical="center"/>
    </xf>
    <xf numFmtId="0" fontId="24" fillId="23" borderId="0" xfId="0" applyNumberFormat="1" applyFont="1" applyFill="1" applyAlignment="1">
      <alignment horizontal="center" vertical="center"/>
    </xf>
    <xf numFmtId="0" fontId="17" fillId="24" borderId="0" xfId="0" applyNumberFormat="1" applyFont="1" applyFill="1" applyBorder="1" applyAlignment="1">
      <alignment horizontal="center"/>
    </xf>
    <xf numFmtId="9" fontId="25" fillId="23" borderId="0" xfId="0" applyNumberFormat="1" applyFont="1" applyFill="1" applyBorder="1" applyAlignment="1">
      <alignment horizontal="center" vertical="center"/>
    </xf>
    <xf numFmtId="0" fontId="25" fillId="23" borderId="0" xfId="0" applyNumberFormat="1" applyFont="1" applyFill="1" applyBorder="1" applyAlignment="1">
      <alignment horizontal="center" vertical="center"/>
    </xf>
    <xf numFmtId="0" fontId="17" fillId="25" borderId="0" xfId="0" applyNumberFormat="1" applyFont="1" applyFill="1" applyBorder="1" applyAlignment="1">
      <alignment horizontal="center"/>
    </xf>
    <xf numFmtId="0" fontId="17" fillId="26" borderId="0" xfId="0" applyNumberFormat="1" applyFont="1" applyFill="1" applyBorder="1" applyAlignment="1">
      <alignment horizontal="center"/>
    </xf>
    <xf numFmtId="0" fontId="17" fillId="27" borderId="0" xfId="0" applyNumberFormat="1" applyFont="1" applyFill="1" applyAlignment="1">
      <alignment horizontal="center"/>
    </xf>
    <xf numFmtId="0" fontId="0" fillId="0" borderId="35" xfId="0" applyNumberFormat="1" applyFont="1" applyFill="1" applyBorder="1" applyAlignment="1">
      <alignment wrapText="1"/>
    </xf>
    <xf numFmtId="9" fontId="0" fillId="0" borderId="35" xfId="0" applyNumberFormat="1" applyFont="1" applyFill="1" applyBorder="1" applyAlignment="1">
      <alignment wrapText="1"/>
    </xf>
    <xf numFmtId="0" fontId="17" fillId="0" borderId="35" xfId="0" applyNumberFormat="1" applyFont="1" applyFill="1" applyBorder="1" applyAlignment="1">
      <alignment horizontal="center" vertical="center" wrapText="1"/>
    </xf>
    <xf numFmtId="9" fontId="17" fillId="0" borderId="35" xfId="0" applyNumberFormat="1" applyFont="1" applyFill="1" applyBorder="1" applyAlignment="1">
      <alignment horizontal="center" vertical="center" wrapText="1"/>
    </xf>
    <xf numFmtId="0" fontId="17" fillId="5" borderId="35" xfId="0" applyNumberFormat="1" applyFont="1" applyFill="1" applyBorder="1" applyAlignment="1">
      <alignment horizontal="center" vertical="center" wrapText="1"/>
    </xf>
    <xf numFmtId="0" fontId="0" fillId="28" borderId="35" xfId="0" applyNumberFormat="1" applyFont="1" applyFill="1" applyBorder="1" applyAlignment="1">
      <alignment wrapText="1"/>
    </xf>
    <xf numFmtId="0" fontId="26" fillId="28" borderId="35" xfId="0" applyNumberFormat="1" applyFont="1" applyFill="1" applyBorder="1" applyAlignment="1">
      <alignment horizontal="center" vertical="center" wrapText="1"/>
    </xf>
    <xf numFmtId="0" fontId="26" fillId="28" borderId="35" xfId="0" applyNumberFormat="1" applyFont="1" applyFill="1" applyBorder="1" applyAlignment="1">
      <alignment wrapText="1"/>
    </xf>
    <xf numFmtId="0" fontId="17" fillId="28" borderId="35" xfId="0" applyNumberFormat="1" applyFont="1" applyFill="1" applyBorder="1" applyAlignment="1">
      <alignment horizontal="center" vertical="center" wrapText="1"/>
    </xf>
    <xf numFmtId="3" fontId="13" fillId="4" borderId="7" xfId="2" applyNumberFormat="1" applyFont="1" applyFill="1" applyBorder="1" applyAlignment="1">
      <alignment horizontal="center" vertical="center" textRotation="90" wrapText="1"/>
    </xf>
    <xf numFmtId="3" fontId="13" fillId="4" borderId="8" xfId="2" applyNumberFormat="1" applyFont="1" applyFill="1" applyBorder="1" applyAlignment="1">
      <alignment horizontal="center" vertical="center" textRotation="90" wrapText="1"/>
    </xf>
    <xf numFmtId="3" fontId="13" fillId="4" borderId="15" xfId="2" applyNumberFormat="1" applyFont="1" applyFill="1" applyBorder="1" applyAlignment="1">
      <alignment horizontal="center" vertical="center" textRotation="90" wrapText="1"/>
    </xf>
    <xf numFmtId="3" fontId="13" fillId="4" borderId="16" xfId="2" applyNumberFormat="1" applyFont="1" applyFill="1" applyBorder="1" applyAlignment="1">
      <alignment horizontal="center" vertical="center" textRotation="90" wrapText="1"/>
    </xf>
    <xf numFmtId="3" fontId="13" fillId="4" borderId="1" xfId="2" applyNumberFormat="1" applyFont="1" applyFill="1" applyBorder="1" applyAlignment="1">
      <alignment horizontal="center" vertical="center" textRotation="90" wrapText="1"/>
    </xf>
    <xf numFmtId="3" fontId="13" fillId="0" borderId="8" xfId="2" applyNumberFormat="1" applyFont="1" applyBorder="1" applyAlignment="1">
      <alignment horizontal="center" vertical="center" textRotation="90" wrapText="1"/>
    </xf>
    <xf numFmtId="3" fontId="13" fillId="0" borderId="15" xfId="2" applyNumberFormat="1" applyFont="1" applyBorder="1" applyAlignment="1">
      <alignment horizontal="center" vertical="center" textRotation="90" wrapText="1"/>
    </xf>
    <xf numFmtId="3" fontId="13" fillId="0" borderId="2" xfId="2" applyNumberFormat="1" applyFont="1" applyBorder="1" applyAlignment="1">
      <alignment horizontal="center" vertical="center" textRotation="90" wrapText="1"/>
    </xf>
    <xf numFmtId="3" fontId="13" fillId="0" borderId="16" xfId="2" applyNumberFormat="1" applyFont="1" applyBorder="1" applyAlignment="1">
      <alignment horizontal="center" vertical="center" textRotation="90" wrapText="1"/>
    </xf>
    <xf numFmtId="3" fontId="13" fillId="4" borderId="2" xfId="2" applyNumberFormat="1" applyFont="1" applyFill="1" applyBorder="1" applyAlignment="1">
      <alignment horizontal="center" vertical="center" textRotation="90" wrapText="1"/>
    </xf>
    <xf numFmtId="3" fontId="13" fillId="0" borderId="20" xfId="2" applyNumberFormat="1" applyFont="1" applyBorder="1" applyAlignment="1">
      <alignment horizontal="center" vertical="center" textRotation="90" wrapText="1"/>
    </xf>
    <xf numFmtId="0" fontId="27" fillId="0" borderId="0" xfId="0" applyFont="1"/>
  </cellXfs>
  <cellStyles count="3">
    <cellStyle name="Normal" xfId="0" builtinId="0"/>
    <cellStyle name="Normal 2 3" xfId="2" xr:uid="{00000000-0005-0000-0000-000001000000}"/>
    <cellStyle name="Porcentaje" xfId="1" xr:uid="{00000000-0005-0000-0000-000002000000}"/>
  </cellStyles>
  <dxfs count="21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Estado del área seleccionada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Cantidad</c:v>
          </c:tx>
          <c:cat>
            <c:strRef>
              <c:f>DASHBOARD!$A$12:$A$14</c:f>
              <c:strCache>
                <c:ptCount val="3"/>
                <c:pt idx="0">
                  <c:v>Cumplidas</c:v>
                </c:pt>
                <c:pt idx="1">
                  <c:v>Faltantes</c:v>
                </c:pt>
                <c:pt idx="2">
                  <c:v>En proceso</c:v>
                </c:pt>
              </c:strCache>
            </c:strRef>
          </c:cat>
          <c:val>
            <c:numRef>
              <c:f>DASHBOARD!$B$12:$B$14</c:f>
              <c:numCache>
                <c:formatCode>General</c:formatCode>
                <c:ptCount val="3"/>
                <c:pt idx="0">
                  <c:v>14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1-41BA-86C2-CCBE6E3B3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Cumplimiento por área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Cumplimiento</c:v>
          </c:tx>
          <c:invertIfNegative val="1"/>
          <c:cat>
            <c:strRef>
              <c:f>DASHBOARD!$A$19:$A$33</c:f>
              <c:strCache>
                <c:ptCount val="15"/>
                <c:pt idx="0">
                  <c:v>MINA CANDELARIA</c:v>
                </c:pt>
                <c:pt idx="1">
                  <c:v>PLANTA MAHUARA</c:v>
                </c:pt>
                <c:pt idx="2">
                  <c:v>ADMINISTRACIÓN</c:v>
                </c:pt>
                <c:pt idx="3">
                  <c:v>MANTENIMIENTO </c:v>
                </c:pt>
                <c:pt idx="4">
                  <c:v>DESARROLLOS MINEROS</c:v>
                </c:pt>
                <c:pt idx="5">
                  <c:v>CAMPAMENTO</c:v>
                </c:pt>
                <c:pt idx="6">
                  <c:v>COMEDOR</c:v>
                </c:pt>
                <c:pt idx="7">
                  <c:v>MEDIO AMBIENTE</c:v>
                </c:pt>
                <c:pt idx="8">
                  <c:v>GEOLOGÍA</c:v>
                </c:pt>
                <c:pt idx="9">
                  <c:v>LOGÍSTICA</c:v>
                </c:pt>
                <c:pt idx="10">
                  <c:v>RENTACAR</c:v>
                </c:pt>
                <c:pt idx="11">
                  <c:v>IRENE</c:v>
                </c:pt>
                <c:pt idx="12">
                  <c:v>OBRAS CIVILES</c:v>
                </c:pt>
                <c:pt idx="13">
                  <c:v>DIAMANTINA</c:v>
                </c:pt>
                <c:pt idx="14">
                  <c:v>CONGEMIN</c:v>
                </c:pt>
              </c:strCache>
            </c:strRef>
          </c:cat>
          <c:val>
            <c:numRef>
              <c:f>DASHBOARD!$B$19:$B$33</c:f>
              <c:numCache>
                <c:formatCode>0%</c:formatCode>
                <c:ptCount val="15"/>
                <c:pt idx="0">
                  <c:v>0.82352941176470584</c:v>
                </c:pt>
                <c:pt idx="1">
                  <c:v>0.82352941176470584</c:v>
                </c:pt>
                <c:pt idx="2">
                  <c:v>0.82352941176470584</c:v>
                </c:pt>
                <c:pt idx="3">
                  <c:v>0.82352941176470584</c:v>
                </c:pt>
                <c:pt idx="4">
                  <c:v>0.82352941176470584</c:v>
                </c:pt>
                <c:pt idx="5">
                  <c:v>0.82352941176470584</c:v>
                </c:pt>
                <c:pt idx="6">
                  <c:v>0.82352941176470584</c:v>
                </c:pt>
                <c:pt idx="7">
                  <c:v>0.82352941176470584</c:v>
                </c:pt>
                <c:pt idx="8">
                  <c:v>0.82352941176470584</c:v>
                </c:pt>
                <c:pt idx="9">
                  <c:v>0.82352941176470584</c:v>
                </c:pt>
                <c:pt idx="10">
                  <c:v>0.82352941176470584</c:v>
                </c:pt>
                <c:pt idx="11">
                  <c:v>0.82352941176470584</c:v>
                </c:pt>
                <c:pt idx="12">
                  <c:v>0.82352941176470584</c:v>
                </c:pt>
                <c:pt idx="13">
                  <c:v>0.82352941176470584</c:v>
                </c:pt>
                <c:pt idx="14">
                  <c:v>0.82352941176470584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8-45C0-9AF3-F1BC2F85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Estado al mes de corte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Cantidad</c:v>
          </c:tx>
          <c:cat>
            <c:strRef>
              <c:f>'DASHBOARD AVANZADO'!$R$2:$R$4</c:f>
              <c:strCache>
                <c:ptCount val="3"/>
                <c:pt idx="0">
                  <c:v>Cumplidas</c:v>
                </c:pt>
                <c:pt idx="1">
                  <c:v>Faltantes</c:v>
                </c:pt>
                <c:pt idx="2">
                  <c:v>En proceso</c:v>
                </c:pt>
              </c:strCache>
            </c:strRef>
          </c:cat>
          <c:val>
            <c:numRef>
              <c:f>'DASHBOARD AVANZADO'!$S$2:$S$4</c:f>
              <c:numCache>
                <c:formatCode>General</c:formatCode>
                <c:ptCount val="3"/>
                <c:pt idx="0">
                  <c:v>14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3-4CAD-808E-84EAC7BB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% Cumplimiento por guardia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</c:v>
          </c:tx>
          <c:invertIfNegative val="1"/>
          <c:cat>
            <c:strRef>
              <c:f>'DASHBOARD AVANZADO'!$J$16:$J$18</c:f>
              <c:strCache>
                <c:ptCount val="3"/>
                <c:pt idx="0">
                  <c:v>Guardia A</c:v>
                </c:pt>
                <c:pt idx="1">
                  <c:v>Guardia B</c:v>
                </c:pt>
                <c:pt idx="2">
                  <c:v>Guardia C</c:v>
                </c:pt>
              </c:strCache>
            </c:strRef>
          </c:cat>
          <c:val>
            <c:numRef>
              <c:f>'DASHBOARD AVANZADO'!$K$16:$K$18</c:f>
              <c:numCache>
                <c:formatCode>General</c:formatCode>
                <c:ptCount val="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8-43A0-ADF8-E6A29866AE46}"/>
            </c:ext>
          </c:extLst>
        </c:ser>
        <c:ser>
          <c:idx val="1"/>
          <c:order val="1"/>
          <c:tx>
            <c:v>F</c:v>
          </c:tx>
          <c:invertIfNegative val="1"/>
          <c:cat>
            <c:strRef>
              <c:f>'DASHBOARD AVANZADO'!$J$16:$J$18</c:f>
              <c:strCache>
                <c:ptCount val="3"/>
                <c:pt idx="0">
                  <c:v>Guardia A</c:v>
                </c:pt>
                <c:pt idx="1">
                  <c:v>Guardia B</c:v>
                </c:pt>
                <c:pt idx="2">
                  <c:v>Guardia C</c:v>
                </c:pt>
              </c:strCache>
            </c:strRef>
          </c:cat>
          <c:val>
            <c:numRef>
              <c:f>'DASHBOARD AVANZADO'!$L$16:$L$18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8-43A0-ADF8-E6A29866AE46}"/>
            </c:ext>
          </c:extLst>
        </c:ser>
        <c:ser>
          <c:idx val="2"/>
          <c:order val="2"/>
          <c:tx>
            <c:v>EP</c:v>
          </c:tx>
          <c:invertIfNegative val="1"/>
          <c:cat>
            <c:strRef>
              <c:f>'DASHBOARD AVANZADO'!$J$16:$J$18</c:f>
              <c:strCache>
                <c:ptCount val="3"/>
                <c:pt idx="0">
                  <c:v>Guardia A</c:v>
                </c:pt>
                <c:pt idx="1">
                  <c:v>Guardia B</c:v>
                </c:pt>
                <c:pt idx="2">
                  <c:v>Guardia C</c:v>
                </c:pt>
              </c:strCache>
            </c:strRef>
          </c:cat>
          <c:val>
            <c:numRef>
              <c:f>'DASHBOARD AVANZADO'!$M$16:$M$18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98-43A0-ADF8-E6A29866AE46}"/>
            </c:ext>
          </c:extLst>
        </c:ser>
        <c:ser>
          <c:idx val="3"/>
          <c:order val="3"/>
          <c:tx>
            <c:v>% Cumplimiento</c:v>
          </c:tx>
          <c:invertIfNegative val="1"/>
          <c:cat>
            <c:strRef>
              <c:f>'DASHBOARD AVANZADO'!$J$16:$J$18</c:f>
              <c:strCache>
                <c:ptCount val="3"/>
                <c:pt idx="0">
                  <c:v>Guardia A</c:v>
                </c:pt>
                <c:pt idx="1">
                  <c:v>Guardia B</c:v>
                </c:pt>
                <c:pt idx="2">
                  <c:v>Guardia C</c:v>
                </c:pt>
              </c:strCache>
            </c:strRef>
          </c:cat>
          <c:val>
            <c:numRef>
              <c:f>'DASHBOARD AVANZADO'!$N$16:$N$18</c:f>
              <c:numCache>
                <c:formatCode>0%</c:formatCode>
                <c:ptCount val="3"/>
                <c:pt idx="0">
                  <c:v>0.82352941176470584</c:v>
                </c:pt>
                <c:pt idx="1">
                  <c:v>0.82352941176470584</c:v>
                </c:pt>
                <c:pt idx="2">
                  <c:v>0.82352941176470584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98-43A0-ADF8-E6A29866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446316</xdr:colOff>
      <xdr:row>2</xdr:row>
      <xdr:rowOff>125187</xdr:rowOff>
    </xdr:from>
    <xdr:to>
      <xdr:col>21</xdr:col>
      <xdr:colOff>57150</xdr:colOff>
      <xdr:row>7</xdr:row>
      <xdr:rowOff>453391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50</xdr:row>
      <xdr:rowOff>0</xdr:rowOff>
    </xdr:from>
    <xdr:to>
      <xdr:col>14</xdr:col>
      <xdr:colOff>0</xdr:colOff>
      <xdr:row>68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"/>
  <sheetViews>
    <sheetView zoomScale="40" zoomScaleNormal="40" workbookViewId="0">
      <selection activeCell="B7" sqref="B7:AV8"/>
    </sheetView>
  </sheetViews>
  <sheetFormatPr baseColWidth="10" defaultColWidth="13" defaultRowHeight="15" x14ac:dyDescent="0.25"/>
  <cols>
    <col min="1" max="1" width="79.28515625" customWidth="1"/>
    <col min="2" max="21" width="0" hidden="1"/>
    <col min="24" max="24" width="19.42578125" customWidth="1"/>
    <col min="28" max="28" width="35" customWidth="1"/>
    <col min="34" max="34" width="21.28515625" customWidth="1"/>
    <col min="37" max="37" width="28.140625" customWidth="1"/>
    <col min="43" max="43" width="18.42578125" customWidth="1"/>
    <col min="44" max="44" width="13" customWidth="1"/>
    <col min="45" max="45" width="16.5703125" customWidth="1"/>
    <col min="46" max="46" width="15.5703125" customWidth="1"/>
    <col min="47" max="47" width="17.42578125" customWidth="1"/>
    <col min="48" max="48" width="39.42578125" customWidth="1"/>
    <col min="49" max="49" width="35.42578125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42"/>
      <c r="B3" s="64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3"/>
      <c r="AD3" s="51" t="s">
        <v>1</v>
      </c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3"/>
      <c r="AW3" s="63"/>
    </row>
    <row r="4" spans="1:49" x14ac:dyDescent="0.25">
      <c r="A4" s="43"/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5"/>
      <c r="AD4" s="54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6"/>
      <c r="AW4" s="47"/>
    </row>
    <row r="5" spans="1:49" x14ac:dyDescent="0.25">
      <c r="A5" s="43"/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5"/>
      <c r="AD5" s="61" t="s">
        <v>2</v>
      </c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62"/>
      <c r="AW5" s="66"/>
    </row>
    <row r="6" spans="1:49" ht="60" customHeight="1" x14ac:dyDescent="0.25">
      <c r="A6" s="43"/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6"/>
      <c r="AD6" s="54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6"/>
      <c r="AW6" s="47"/>
    </row>
    <row r="7" spans="1:49" x14ac:dyDescent="0.25">
      <c r="A7" s="43"/>
      <c r="B7" s="57" t="s">
        <v>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45" t="s">
        <v>4</v>
      </c>
    </row>
    <row r="8" spans="1:49" ht="39.6" customHeight="1" x14ac:dyDescent="0.25">
      <c r="A8" s="44"/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46"/>
    </row>
    <row r="9" spans="1:49" ht="30" customHeight="1" x14ac:dyDescent="0.25">
      <c r="A9" s="8" t="s">
        <v>5</v>
      </c>
      <c r="B9" s="15">
        <v>46174</v>
      </c>
      <c r="C9" s="15">
        <f t="shared" ref="C9:U9" si="0">B9+1</f>
        <v>46175</v>
      </c>
      <c r="D9" s="15">
        <f t="shared" si="0"/>
        <v>46176</v>
      </c>
      <c r="E9" s="15">
        <f t="shared" si="0"/>
        <v>46177</v>
      </c>
      <c r="F9" s="15">
        <f t="shared" si="0"/>
        <v>46178</v>
      </c>
      <c r="G9" s="15">
        <f t="shared" si="0"/>
        <v>46179</v>
      </c>
      <c r="H9" s="15">
        <f t="shared" si="0"/>
        <v>46180</v>
      </c>
      <c r="I9" s="15">
        <f t="shared" si="0"/>
        <v>46181</v>
      </c>
      <c r="J9" s="15">
        <f t="shared" si="0"/>
        <v>46182</v>
      </c>
      <c r="K9" s="15">
        <f t="shared" si="0"/>
        <v>46183</v>
      </c>
      <c r="L9" s="15">
        <f t="shared" si="0"/>
        <v>46184</v>
      </c>
      <c r="M9" s="15">
        <f t="shared" si="0"/>
        <v>46185</v>
      </c>
      <c r="N9" s="15">
        <f t="shared" si="0"/>
        <v>46186</v>
      </c>
      <c r="O9" s="15">
        <f t="shared" si="0"/>
        <v>46187</v>
      </c>
      <c r="P9" s="15">
        <f t="shared" si="0"/>
        <v>46188</v>
      </c>
      <c r="Q9" s="15">
        <f t="shared" si="0"/>
        <v>46189</v>
      </c>
      <c r="R9" s="15">
        <f t="shared" si="0"/>
        <v>46190</v>
      </c>
      <c r="S9" s="15">
        <f t="shared" si="0"/>
        <v>46191</v>
      </c>
      <c r="T9" s="15">
        <f t="shared" si="0"/>
        <v>46192</v>
      </c>
      <c r="U9" s="16">
        <f t="shared" si="0"/>
        <v>46193</v>
      </c>
      <c r="V9" s="48" t="s">
        <v>6</v>
      </c>
      <c r="W9" s="50"/>
      <c r="X9" s="48" t="s">
        <v>7</v>
      </c>
      <c r="Y9" s="50"/>
      <c r="Z9" s="48" t="s">
        <v>8</v>
      </c>
      <c r="AA9" s="50"/>
      <c r="AB9" s="48" t="s">
        <v>9</v>
      </c>
      <c r="AC9" s="49"/>
      <c r="AD9" s="50"/>
      <c r="AE9" s="48" t="s">
        <v>10</v>
      </c>
      <c r="AF9" s="50"/>
      <c r="AG9" s="48" t="s">
        <v>11</v>
      </c>
      <c r="AH9" s="49"/>
      <c r="AI9" s="50"/>
      <c r="AJ9" s="48" t="s">
        <v>12</v>
      </c>
      <c r="AK9" s="49"/>
      <c r="AL9" s="50"/>
      <c r="AM9" s="48" t="s">
        <v>13</v>
      </c>
      <c r="AN9" s="49"/>
      <c r="AO9" s="50"/>
      <c r="AP9" s="48" t="s">
        <v>14</v>
      </c>
      <c r="AQ9" s="50"/>
      <c r="AR9" s="48" t="s">
        <v>15</v>
      </c>
      <c r="AS9" s="50"/>
      <c r="AT9" s="48" t="s">
        <v>16</v>
      </c>
      <c r="AU9" s="50"/>
      <c r="AV9" s="17" t="s">
        <v>17</v>
      </c>
      <c r="AW9" s="47"/>
    </row>
    <row r="10" spans="1:49" ht="409.5" customHeight="1" x14ac:dyDescent="0.35">
      <c r="A10" s="2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26</v>
      </c>
      <c r="J10" s="3" t="s">
        <v>20</v>
      </c>
      <c r="K10" s="3" t="s">
        <v>27</v>
      </c>
      <c r="L10" s="3" t="s">
        <v>28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36</v>
      </c>
      <c r="U10" s="9" t="s">
        <v>37</v>
      </c>
      <c r="V10" s="105" t="s">
        <v>38</v>
      </c>
      <c r="W10" s="106" t="s">
        <v>39</v>
      </c>
      <c r="X10" s="105" t="s">
        <v>40</v>
      </c>
      <c r="Y10" s="106" t="s">
        <v>20</v>
      </c>
      <c r="Z10" s="107" t="s">
        <v>41</v>
      </c>
      <c r="AA10" s="108" t="s">
        <v>42</v>
      </c>
      <c r="AB10" s="107" t="s">
        <v>43</v>
      </c>
      <c r="AC10" s="109" t="s">
        <v>44</v>
      </c>
      <c r="AD10" s="110" t="s">
        <v>45</v>
      </c>
      <c r="AE10" s="111" t="s">
        <v>46</v>
      </c>
      <c r="AF10" s="108" t="s">
        <v>47</v>
      </c>
      <c r="AG10" s="107" t="s">
        <v>20</v>
      </c>
      <c r="AH10" s="112" t="s">
        <v>48</v>
      </c>
      <c r="AI10" s="113" t="s">
        <v>49</v>
      </c>
      <c r="AJ10" s="107" t="s">
        <v>38</v>
      </c>
      <c r="AK10" s="114" t="s">
        <v>50</v>
      </c>
      <c r="AL10" s="113" t="s">
        <v>51</v>
      </c>
      <c r="AM10" s="111" t="s">
        <v>52</v>
      </c>
      <c r="AN10" s="112" t="s">
        <v>53</v>
      </c>
      <c r="AO10" s="113" t="s">
        <v>54</v>
      </c>
      <c r="AP10" s="111" t="s">
        <v>55</v>
      </c>
      <c r="AQ10" s="108" t="s">
        <v>56</v>
      </c>
      <c r="AR10" s="107" t="s">
        <v>20</v>
      </c>
      <c r="AS10" s="108" t="s">
        <v>42</v>
      </c>
      <c r="AT10" s="111" t="s">
        <v>57</v>
      </c>
      <c r="AU10" s="108" t="s">
        <v>39</v>
      </c>
      <c r="AV10" s="115" t="s">
        <v>38</v>
      </c>
      <c r="AW10" s="13"/>
    </row>
    <row r="11" spans="1:49" ht="33" customHeight="1" x14ac:dyDescent="0.25">
      <c r="A11" s="4" t="s">
        <v>58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0" t="s">
        <v>59</v>
      </c>
      <c r="V11" s="11" t="s">
        <v>74</v>
      </c>
      <c r="W11" s="11" t="s">
        <v>74</v>
      </c>
      <c r="X11" s="11" t="s">
        <v>74</v>
      </c>
      <c r="Y11" s="11" t="s">
        <v>74</v>
      </c>
      <c r="Z11" s="11" t="s">
        <v>74</v>
      </c>
      <c r="AA11" s="11" t="s">
        <v>74</v>
      </c>
      <c r="AB11" s="11" t="s">
        <v>74</v>
      </c>
      <c r="AC11" s="11" t="s">
        <v>74</v>
      </c>
      <c r="AD11" s="11" t="s">
        <v>74</v>
      </c>
      <c r="AE11" s="11" t="s">
        <v>74</v>
      </c>
      <c r="AF11" s="11" t="s">
        <v>74</v>
      </c>
      <c r="AG11" s="11" t="s">
        <v>74</v>
      </c>
      <c r="AH11" s="11" t="s">
        <v>74</v>
      </c>
      <c r="AI11" s="12" t="s">
        <v>75</v>
      </c>
      <c r="AJ11" s="11" t="s">
        <v>74</v>
      </c>
      <c r="AK11" s="5" t="s">
        <v>75</v>
      </c>
      <c r="AL11" s="12" t="s">
        <v>76</v>
      </c>
      <c r="AM11" s="11"/>
      <c r="AN11" s="5"/>
      <c r="AO11" s="12"/>
      <c r="AP11" s="11"/>
      <c r="AQ11" s="12"/>
      <c r="AR11" s="11"/>
      <c r="AS11" s="12"/>
      <c r="AT11" s="11"/>
      <c r="AU11" s="12"/>
      <c r="AV11" s="14"/>
      <c r="AW11" s="29">
        <f>IFERROR(COUNTIF(V11:AV11,"C")/COUNTA(V11:AV11),0)</f>
        <v>0.82352941176470584</v>
      </c>
    </row>
    <row r="12" spans="1:49" ht="33" customHeight="1" x14ac:dyDescent="0.25">
      <c r="A12" s="4" t="s">
        <v>60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0" t="s">
        <v>59</v>
      </c>
      <c r="V12" s="11" t="s">
        <v>74</v>
      </c>
      <c r="W12" s="11" t="s">
        <v>74</v>
      </c>
      <c r="X12" s="11" t="s">
        <v>74</v>
      </c>
      <c r="Y12" s="11" t="s">
        <v>74</v>
      </c>
      <c r="Z12" s="11" t="s">
        <v>74</v>
      </c>
      <c r="AA12" s="11" t="s">
        <v>74</v>
      </c>
      <c r="AB12" s="11" t="s">
        <v>74</v>
      </c>
      <c r="AC12" s="11" t="s">
        <v>74</v>
      </c>
      <c r="AD12" s="11" t="s">
        <v>74</v>
      </c>
      <c r="AE12" s="11" t="s">
        <v>74</v>
      </c>
      <c r="AF12" s="11" t="s">
        <v>74</v>
      </c>
      <c r="AG12" s="11" t="s">
        <v>74</v>
      </c>
      <c r="AH12" s="11" t="s">
        <v>74</v>
      </c>
      <c r="AI12" s="12" t="s">
        <v>75</v>
      </c>
      <c r="AJ12" s="11" t="s">
        <v>74</v>
      </c>
      <c r="AK12" s="5" t="s">
        <v>75</v>
      </c>
      <c r="AL12" s="12" t="s">
        <v>76</v>
      </c>
      <c r="AM12" s="11"/>
      <c r="AN12" s="5"/>
      <c r="AO12" s="12"/>
      <c r="AP12" s="11"/>
      <c r="AQ12" s="12"/>
      <c r="AR12" s="11"/>
      <c r="AS12" s="12"/>
      <c r="AT12" s="11"/>
      <c r="AU12" s="12"/>
      <c r="AV12" s="14"/>
      <c r="AW12" s="29">
        <f t="shared" ref="AW12:AW25" si="1">IFERROR(COUNTIF(V12:AV12,"C")/COUNTA(V12:AV12),0)</f>
        <v>0.82352941176470584</v>
      </c>
    </row>
    <row r="13" spans="1:49" ht="33" customHeight="1" x14ac:dyDescent="0.25">
      <c r="A13" s="4" t="s">
        <v>61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0" t="s">
        <v>59</v>
      </c>
      <c r="V13" s="11" t="s">
        <v>74</v>
      </c>
      <c r="W13" s="11" t="s">
        <v>74</v>
      </c>
      <c r="X13" s="11" t="s">
        <v>74</v>
      </c>
      <c r="Y13" s="11" t="s">
        <v>74</v>
      </c>
      <c r="Z13" s="11" t="s">
        <v>74</v>
      </c>
      <c r="AA13" s="11" t="s">
        <v>74</v>
      </c>
      <c r="AB13" s="11" t="s">
        <v>74</v>
      </c>
      <c r="AC13" s="11" t="s">
        <v>74</v>
      </c>
      <c r="AD13" s="11" t="s">
        <v>74</v>
      </c>
      <c r="AE13" s="11" t="s">
        <v>74</v>
      </c>
      <c r="AF13" s="11" t="s">
        <v>74</v>
      </c>
      <c r="AG13" s="11" t="s">
        <v>74</v>
      </c>
      <c r="AH13" s="11" t="s">
        <v>74</v>
      </c>
      <c r="AI13" s="12" t="s">
        <v>75</v>
      </c>
      <c r="AJ13" s="11" t="s">
        <v>74</v>
      </c>
      <c r="AK13" s="5" t="s">
        <v>75</v>
      </c>
      <c r="AL13" s="12" t="s">
        <v>76</v>
      </c>
      <c r="AM13" s="11"/>
      <c r="AN13" s="5"/>
      <c r="AO13" s="12"/>
      <c r="AP13" s="11"/>
      <c r="AQ13" s="12"/>
      <c r="AR13" s="11"/>
      <c r="AS13" s="12"/>
      <c r="AT13" s="11"/>
      <c r="AU13" s="12"/>
      <c r="AV13" s="14"/>
      <c r="AW13" s="29">
        <f t="shared" si="1"/>
        <v>0.82352941176470584</v>
      </c>
    </row>
    <row r="14" spans="1:49" ht="33" customHeight="1" x14ac:dyDescent="0.25">
      <c r="A14" s="4" t="s">
        <v>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0" t="s">
        <v>59</v>
      </c>
      <c r="V14" s="11" t="s">
        <v>74</v>
      </c>
      <c r="W14" s="11" t="s">
        <v>74</v>
      </c>
      <c r="X14" s="11" t="s">
        <v>74</v>
      </c>
      <c r="Y14" s="11" t="s">
        <v>74</v>
      </c>
      <c r="Z14" s="11" t="s">
        <v>74</v>
      </c>
      <c r="AA14" s="11" t="s">
        <v>74</v>
      </c>
      <c r="AB14" s="11" t="s">
        <v>74</v>
      </c>
      <c r="AC14" s="11" t="s">
        <v>74</v>
      </c>
      <c r="AD14" s="11" t="s">
        <v>74</v>
      </c>
      <c r="AE14" s="11" t="s">
        <v>74</v>
      </c>
      <c r="AF14" s="11" t="s">
        <v>74</v>
      </c>
      <c r="AG14" s="11" t="s">
        <v>74</v>
      </c>
      <c r="AH14" s="11" t="s">
        <v>74</v>
      </c>
      <c r="AI14" s="12" t="s">
        <v>75</v>
      </c>
      <c r="AJ14" s="11" t="s">
        <v>74</v>
      </c>
      <c r="AK14" s="5" t="s">
        <v>75</v>
      </c>
      <c r="AL14" s="12" t="s">
        <v>76</v>
      </c>
      <c r="AM14" s="11"/>
      <c r="AN14" s="5"/>
      <c r="AO14" s="12"/>
      <c r="AP14" s="11"/>
      <c r="AQ14" s="12"/>
      <c r="AR14" s="11"/>
      <c r="AS14" s="12"/>
      <c r="AT14" s="11"/>
      <c r="AU14" s="12"/>
      <c r="AV14" s="14"/>
      <c r="AW14" s="29">
        <f t="shared" si="1"/>
        <v>0.82352941176470584</v>
      </c>
    </row>
    <row r="15" spans="1:49" ht="33" customHeight="1" x14ac:dyDescent="0.25">
      <c r="A15" s="4" t="s">
        <v>63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0" t="s">
        <v>59</v>
      </c>
      <c r="V15" s="11" t="s">
        <v>74</v>
      </c>
      <c r="W15" s="11" t="s">
        <v>74</v>
      </c>
      <c r="X15" s="11" t="s">
        <v>74</v>
      </c>
      <c r="Y15" s="11" t="s">
        <v>74</v>
      </c>
      <c r="Z15" s="11" t="s">
        <v>74</v>
      </c>
      <c r="AA15" s="11" t="s">
        <v>74</v>
      </c>
      <c r="AB15" s="11" t="s">
        <v>74</v>
      </c>
      <c r="AC15" s="11" t="s">
        <v>74</v>
      </c>
      <c r="AD15" s="11" t="s">
        <v>74</v>
      </c>
      <c r="AE15" s="11" t="s">
        <v>74</v>
      </c>
      <c r="AF15" s="11" t="s">
        <v>74</v>
      </c>
      <c r="AG15" s="11" t="s">
        <v>74</v>
      </c>
      <c r="AH15" s="11" t="s">
        <v>74</v>
      </c>
      <c r="AI15" s="12" t="s">
        <v>75</v>
      </c>
      <c r="AJ15" s="11" t="s">
        <v>74</v>
      </c>
      <c r="AK15" s="5" t="s">
        <v>75</v>
      </c>
      <c r="AL15" s="12" t="s">
        <v>76</v>
      </c>
      <c r="AM15" s="11"/>
      <c r="AN15" s="5"/>
      <c r="AO15" s="12"/>
      <c r="AP15" s="11"/>
      <c r="AQ15" s="12"/>
      <c r="AR15" s="11"/>
      <c r="AS15" s="12"/>
      <c r="AT15" s="11"/>
      <c r="AU15" s="12"/>
      <c r="AV15" s="14"/>
      <c r="AW15" s="29">
        <f t="shared" si="1"/>
        <v>0.82352941176470584</v>
      </c>
    </row>
    <row r="16" spans="1:49" ht="33" customHeight="1" x14ac:dyDescent="0.25">
      <c r="A16" s="4" t="s">
        <v>64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0"/>
      <c r="V16" s="11" t="s">
        <v>74</v>
      </c>
      <c r="W16" s="11" t="s">
        <v>74</v>
      </c>
      <c r="X16" s="11" t="s">
        <v>74</v>
      </c>
      <c r="Y16" s="11" t="s">
        <v>74</v>
      </c>
      <c r="Z16" s="11" t="s">
        <v>74</v>
      </c>
      <c r="AA16" s="11" t="s">
        <v>74</v>
      </c>
      <c r="AB16" s="11" t="s">
        <v>74</v>
      </c>
      <c r="AC16" s="11" t="s">
        <v>74</v>
      </c>
      <c r="AD16" s="11" t="s">
        <v>74</v>
      </c>
      <c r="AE16" s="11" t="s">
        <v>74</v>
      </c>
      <c r="AF16" s="11" t="s">
        <v>74</v>
      </c>
      <c r="AG16" s="11" t="s">
        <v>74</v>
      </c>
      <c r="AH16" s="11" t="s">
        <v>74</v>
      </c>
      <c r="AI16" s="12" t="s">
        <v>75</v>
      </c>
      <c r="AJ16" s="11" t="s">
        <v>74</v>
      </c>
      <c r="AK16" s="5" t="s">
        <v>75</v>
      </c>
      <c r="AL16" s="12" t="s">
        <v>76</v>
      </c>
      <c r="AM16" s="11"/>
      <c r="AN16" s="5"/>
      <c r="AO16" s="12"/>
      <c r="AP16" s="11"/>
      <c r="AQ16" s="12"/>
      <c r="AR16" s="11"/>
      <c r="AS16" s="12"/>
      <c r="AT16" s="11"/>
      <c r="AU16" s="12"/>
      <c r="AV16" s="14"/>
      <c r="AW16" s="29">
        <f t="shared" si="1"/>
        <v>0.82352941176470584</v>
      </c>
    </row>
    <row r="17" spans="1:49" ht="33" customHeight="1" x14ac:dyDescent="0.25">
      <c r="A17" s="4" t="s">
        <v>65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0"/>
      <c r="V17" s="11" t="s">
        <v>74</v>
      </c>
      <c r="W17" s="11" t="s">
        <v>74</v>
      </c>
      <c r="X17" s="11" t="s">
        <v>74</v>
      </c>
      <c r="Y17" s="11" t="s">
        <v>74</v>
      </c>
      <c r="Z17" s="11" t="s">
        <v>74</v>
      </c>
      <c r="AA17" s="11" t="s">
        <v>74</v>
      </c>
      <c r="AB17" s="11" t="s">
        <v>74</v>
      </c>
      <c r="AC17" s="11" t="s">
        <v>74</v>
      </c>
      <c r="AD17" s="11" t="s">
        <v>74</v>
      </c>
      <c r="AE17" s="11" t="s">
        <v>74</v>
      </c>
      <c r="AF17" s="11" t="s">
        <v>74</v>
      </c>
      <c r="AG17" s="11" t="s">
        <v>74</v>
      </c>
      <c r="AH17" s="11" t="s">
        <v>74</v>
      </c>
      <c r="AI17" s="12" t="s">
        <v>75</v>
      </c>
      <c r="AJ17" s="11" t="s">
        <v>74</v>
      </c>
      <c r="AK17" s="5" t="s">
        <v>75</v>
      </c>
      <c r="AL17" s="12" t="s">
        <v>76</v>
      </c>
      <c r="AM17" s="11"/>
      <c r="AN17" s="5"/>
      <c r="AO17" s="12"/>
      <c r="AP17" s="11"/>
      <c r="AQ17" s="12"/>
      <c r="AR17" s="11"/>
      <c r="AS17" s="12"/>
      <c r="AT17" s="11"/>
      <c r="AU17" s="12"/>
      <c r="AV17" s="14"/>
      <c r="AW17" s="29">
        <f t="shared" si="1"/>
        <v>0.82352941176470584</v>
      </c>
    </row>
    <row r="18" spans="1:49" ht="33" customHeight="1" x14ac:dyDescent="0.25">
      <c r="A18" s="4" t="s">
        <v>66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0" t="s">
        <v>59</v>
      </c>
      <c r="V18" s="11" t="s">
        <v>74</v>
      </c>
      <c r="W18" s="11" t="s">
        <v>74</v>
      </c>
      <c r="X18" s="11" t="s">
        <v>74</v>
      </c>
      <c r="Y18" s="11" t="s">
        <v>74</v>
      </c>
      <c r="Z18" s="11" t="s">
        <v>74</v>
      </c>
      <c r="AA18" s="11" t="s">
        <v>74</v>
      </c>
      <c r="AB18" s="11" t="s">
        <v>74</v>
      </c>
      <c r="AC18" s="11" t="s">
        <v>74</v>
      </c>
      <c r="AD18" s="11" t="s">
        <v>74</v>
      </c>
      <c r="AE18" s="11" t="s">
        <v>74</v>
      </c>
      <c r="AF18" s="11" t="s">
        <v>74</v>
      </c>
      <c r="AG18" s="11" t="s">
        <v>74</v>
      </c>
      <c r="AH18" s="11" t="s">
        <v>74</v>
      </c>
      <c r="AI18" s="12" t="s">
        <v>75</v>
      </c>
      <c r="AJ18" s="11" t="s">
        <v>74</v>
      </c>
      <c r="AK18" s="5" t="s">
        <v>75</v>
      </c>
      <c r="AL18" s="12" t="s">
        <v>76</v>
      </c>
      <c r="AM18" s="11"/>
      <c r="AN18" s="5"/>
      <c r="AO18" s="12"/>
      <c r="AP18" s="11"/>
      <c r="AQ18" s="12"/>
      <c r="AR18" s="11"/>
      <c r="AS18" s="12"/>
      <c r="AT18" s="11"/>
      <c r="AU18" s="12"/>
      <c r="AV18" s="14"/>
      <c r="AW18" s="29">
        <f t="shared" si="1"/>
        <v>0.82352941176470584</v>
      </c>
    </row>
    <row r="19" spans="1:49" ht="36" customHeight="1" x14ac:dyDescent="0.25">
      <c r="A19" s="6" t="s">
        <v>67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0" t="s">
        <v>59</v>
      </c>
      <c r="V19" s="11" t="s">
        <v>74</v>
      </c>
      <c r="W19" s="11" t="s">
        <v>74</v>
      </c>
      <c r="X19" s="11" t="s">
        <v>74</v>
      </c>
      <c r="Y19" s="11" t="s">
        <v>74</v>
      </c>
      <c r="Z19" s="11" t="s">
        <v>74</v>
      </c>
      <c r="AA19" s="11" t="s">
        <v>74</v>
      </c>
      <c r="AB19" s="11" t="s">
        <v>74</v>
      </c>
      <c r="AC19" s="11" t="s">
        <v>74</v>
      </c>
      <c r="AD19" s="11" t="s">
        <v>74</v>
      </c>
      <c r="AE19" s="11" t="s">
        <v>74</v>
      </c>
      <c r="AF19" s="11" t="s">
        <v>74</v>
      </c>
      <c r="AG19" s="11" t="s">
        <v>74</v>
      </c>
      <c r="AH19" s="11" t="s">
        <v>74</v>
      </c>
      <c r="AI19" s="12" t="s">
        <v>75</v>
      </c>
      <c r="AJ19" s="11" t="s">
        <v>74</v>
      </c>
      <c r="AK19" s="5" t="s">
        <v>75</v>
      </c>
      <c r="AL19" s="12" t="s">
        <v>76</v>
      </c>
      <c r="AM19" s="11"/>
      <c r="AN19" s="5"/>
      <c r="AO19" s="12"/>
      <c r="AP19" s="11"/>
      <c r="AQ19" s="12"/>
      <c r="AR19" s="11"/>
      <c r="AS19" s="12"/>
      <c r="AT19" s="11"/>
      <c r="AU19" s="12"/>
      <c r="AV19" s="14"/>
      <c r="AW19" s="29">
        <f t="shared" si="1"/>
        <v>0.82352941176470584</v>
      </c>
    </row>
    <row r="20" spans="1:49" ht="33" customHeight="1" x14ac:dyDescent="0.25">
      <c r="A20" s="4" t="s">
        <v>68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0" t="s">
        <v>59</v>
      </c>
      <c r="V20" s="11" t="s">
        <v>74</v>
      </c>
      <c r="W20" s="11" t="s">
        <v>74</v>
      </c>
      <c r="X20" s="11" t="s">
        <v>74</v>
      </c>
      <c r="Y20" s="11" t="s">
        <v>74</v>
      </c>
      <c r="Z20" s="11" t="s">
        <v>74</v>
      </c>
      <c r="AA20" s="11" t="s">
        <v>74</v>
      </c>
      <c r="AB20" s="11" t="s">
        <v>74</v>
      </c>
      <c r="AC20" s="11" t="s">
        <v>74</v>
      </c>
      <c r="AD20" s="11" t="s">
        <v>74</v>
      </c>
      <c r="AE20" s="11" t="s">
        <v>74</v>
      </c>
      <c r="AF20" s="11" t="s">
        <v>74</v>
      </c>
      <c r="AG20" s="11" t="s">
        <v>74</v>
      </c>
      <c r="AH20" s="11" t="s">
        <v>74</v>
      </c>
      <c r="AI20" s="12" t="s">
        <v>75</v>
      </c>
      <c r="AJ20" s="11" t="s">
        <v>74</v>
      </c>
      <c r="AK20" s="5" t="s">
        <v>75</v>
      </c>
      <c r="AL20" s="12" t="s">
        <v>76</v>
      </c>
      <c r="AM20" s="11"/>
      <c r="AN20" s="5"/>
      <c r="AO20" s="12"/>
      <c r="AP20" s="11"/>
      <c r="AQ20" s="12"/>
      <c r="AR20" s="11"/>
      <c r="AS20" s="12"/>
      <c r="AT20" s="11"/>
      <c r="AU20" s="12"/>
      <c r="AV20" s="14"/>
      <c r="AW20" s="29">
        <f t="shared" si="1"/>
        <v>0.82352941176470584</v>
      </c>
    </row>
    <row r="21" spans="1:49" ht="33" customHeight="1" x14ac:dyDescent="0.25">
      <c r="A21" s="7" t="s">
        <v>69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0" t="s">
        <v>59</v>
      </c>
      <c r="V21" s="11" t="s">
        <v>74</v>
      </c>
      <c r="W21" s="11" t="s">
        <v>74</v>
      </c>
      <c r="X21" s="11" t="s">
        <v>74</v>
      </c>
      <c r="Y21" s="11" t="s">
        <v>74</v>
      </c>
      <c r="Z21" s="11" t="s">
        <v>74</v>
      </c>
      <c r="AA21" s="11" t="s">
        <v>74</v>
      </c>
      <c r="AB21" s="11" t="s">
        <v>74</v>
      </c>
      <c r="AC21" s="11" t="s">
        <v>74</v>
      </c>
      <c r="AD21" s="11" t="s">
        <v>74</v>
      </c>
      <c r="AE21" s="11" t="s">
        <v>74</v>
      </c>
      <c r="AF21" s="11" t="s">
        <v>74</v>
      </c>
      <c r="AG21" s="11" t="s">
        <v>74</v>
      </c>
      <c r="AH21" s="11" t="s">
        <v>74</v>
      </c>
      <c r="AI21" s="12" t="s">
        <v>75</v>
      </c>
      <c r="AJ21" s="11" t="s">
        <v>74</v>
      </c>
      <c r="AK21" s="5" t="s">
        <v>75</v>
      </c>
      <c r="AL21" s="12" t="s">
        <v>76</v>
      </c>
      <c r="AM21" s="11"/>
      <c r="AN21" s="5"/>
      <c r="AO21" s="12"/>
      <c r="AP21" s="11"/>
      <c r="AQ21" s="12"/>
      <c r="AR21" s="11"/>
      <c r="AS21" s="12"/>
      <c r="AT21" s="11"/>
      <c r="AU21" s="12"/>
      <c r="AV21" s="14"/>
      <c r="AW21" s="29">
        <f t="shared" si="1"/>
        <v>0.82352941176470584</v>
      </c>
    </row>
    <row r="22" spans="1:49" ht="33" customHeight="1" x14ac:dyDescent="0.25">
      <c r="A22" s="7" t="s">
        <v>70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0" t="s">
        <v>59</v>
      </c>
      <c r="V22" s="11" t="s">
        <v>74</v>
      </c>
      <c r="W22" s="11" t="s">
        <v>74</v>
      </c>
      <c r="X22" s="11" t="s">
        <v>74</v>
      </c>
      <c r="Y22" s="11" t="s">
        <v>74</v>
      </c>
      <c r="Z22" s="11" t="s">
        <v>74</v>
      </c>
      <c r="AA22" s="11" t="s">
        <v>74</v>
      </c>
      <c r="AB22" s="11" t="s">
        <v>74</v>
      </c>
      <c r="AC22" s="11" t="s">
        <v>74</v>
      </c>
      <c r="AD22" s="11" t="s">
        <v>74</v>
      </c>
      <c r="AE22" s="11" t="s">
        <v>74</v>
      </c>
      <c r="AF22" s="11" t="s">
        <v>74</v>
      </c>
      <c r="AG22" s="11" t="s">
        <v>74</v>
      </c>
      <c r="AH22" s="11" t="s">
        <v>74</v>
      </c>
      <c r="AI22" s="12" t="s">
        <v>75</v>
      </c>
      <c r="AJ22" s="11" t="s">
        <v>74</v>
      </c>
      <c r="AK22" s="5" t="s">
        <v>75</v>
      </c>
      <c r="AL22" s="12" t="s">
        <v>76</v>
      </c>
      <c r="AM22" s="11"/>
      <c r="AN22" s="5"/>
      <c r="AO22" s="12"/>
      <c r="AP22" s="11"/>
      <c r="AQ22" s="12"/>
      <c r="AR22" s="11"/>
      <c r="AS22" s="12"/>
      <c r="AT22" s="11"/>
      <c r="AU22" s="12"/>
      <c r="AV22" s="14"/>
      <c r="AW22" s="29">
        <f t="shared" si="1"/>
        <v>0.82352941176470584</v>
      </c>
    </row>
    <row r="23" spans="1:49" ht="33" customHeight="1" x14ac:dyDescent="0.25">
      <c r="A23" s="7" t="s">
        <v>71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0" t="s">
        <v>59</v>
      </c>
      <c r="V23" s="11" t="s">
        <v>74</v>
      </c>
      <c r="W23" s="11" t="s">
        <v>74</v>
      </c>
      <c r="X23" s="11" t="s">
        <v>74</v>
      </c>
      <c r="Y23" s="11" t="s">
        <v>74</v>
      </c>
      <c r="Z23" s="11" t="s">
        <v>74</v>
      </c>
      <c r="AA23" s="11" t="s">
        <v>74</v>
      </c>
      <c r="AB23" s="11" t="s">
        <v>74</v>
      </c>
      <c r="AC23" s="11" t="s">
        <v>74</v>
      </c>
      <c r="AD23" s="11" t="s">
        <v>74</v>
      </c>
      <c r="AE23" s="11" t="s">
        <v>74</v>
      </c>
      <c r="AF23" s="11" t="s">
        <v>74</v>
      </c>
      <c r="AG23" s="11" t="s">
        <v>74</v>
      </c>
      <c r="AH23" s="11" t="s">
        <v>74</v>
      </c>
      <c r="AI23" s="12" t="s">
        <v>75</v>
      </c>
      <c r="AJ23" s="11" t="s">
        <v>74</v>
      </c>
      <c r="AK23" s="5" t="s">
        <v>75</v>
      </c>
      <c r="AL23" s="12" t="s">
        <v>76</v>
      </c>
      <c r="AM23" s="11"/>
      <c r="AN23" s="5"/>
      <c r="AO23" s="12"/>
      <c r="AP23" s="11"/>
      <c r="AQ23" s="12"/>
      <c r="AR23" s="11"/>
      <c r="AS23" s="12"/>
      <c r="AT23" s="11"/>
      <c r="AU23" s="12"/>
      <c r="AV23" s="14"/>
      <c r="AW23" s="29">
        <f t="shared" si="1"/>
        <v>0.82352941176470584</v>
      </c>
    </row>
    <row r="24" spans="1:49" ht="33" customHeight="1" x14ac:dyDescent="0.25">
      <c r="A24" s="7" t="s">
        <v>72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0" t="s">
        <v>59</v>
      </c>
      <c r="V24" s="11" t="s">
        <v>74</v>
      </c>
      <c r="W24" s="11" t="s">
        <v>74</v>
      </c>
      <c r="X24" s="11" t="s">
        <v>74</v>
      </c>
      <c r="Y24" s="11" t="s">
        <v>74</v>
      </c>
      <c r="Z24" s="11" t="s">
        <v>74</v>
      </c>
      <c r="AA24" s="11" t="s">
        <v>74</v>
      </c>
      <c r="AB24" s="11" t="s">
        <v>74</v>
      </c>
      <c r="AC24" s="11" t="s">
        <v>74</v>
      </c>
      <c r="AD24" s="11" t="s">
        <v>74</v>
      </c>
      <c r="AE24" s="11" t="s">
        <v>74</v>
      </c>
      <c r="AF24" s="11" t="s">
        <v>74</v>
      </c>
      <c r="AG24" s="11" t="s">
        <v>74</v>
      </c>
      <c r="AH24" s="11" t="s">
        <v>74</v>
      </c>
      <c r="AI24" s="12" t="s">
        <v>75</v>
      </c>
      <c r="AJ24" s="11" t="s">
        <v>74</v>
      </c>
      <c r="AK24" s="5" t="s">
        <v>75</v>
      </c>
      <c r="AL24" s="12" t="s">
        <v>76</v>
      </c>
      <c r="AM24" s="11"/>
      <c r="AN24" s="5"/>
      <c r="AO24" s="12"/>
      <c r="AP24" s="11"/>
      <c r="AQ24" s="12"/>
      <c r="AR24" s="11"/>
      <c r="AS24" s="12"/>
      <c r="AT24" s="11"/>
      <c r="AU24" s="12"/>
      <c r="AV24" s="14"/>
      <c r="AW24" s="29">
        <f t="shared" si="1"/>
        <v>0.82352941176470584</v>
      </c>
    </row>
    <row r="25" spans="1:49" ht="33.75" customHeight="1" x14ac:dyDescent="0.25">
      <c r="A25" s="19" t="s">
        <v>73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 t="s">
        <v>59</v>
      </c>
      <c r="V25" s="22" t="s">
        <v>74</v>
      </c>
      <c r="W25" s="22" t="s">
        <v>74</v>
      </c>
      <c r="X25" s="22" t="s">
        <v>74</v>
      </c>
      <c r="Y25" s="22" t="s">
        <v>74</v>
      </c>
      <c r="Z25" s="22" t="s">
        <v>74</v>
      </c>
      <c r="AA25" s="22" t="s">
        <v>74</v>
      </c>
      <c r="AB25" s="22" t="s">
        <v>74</v>
      </c>
      <c r="AC25" s="22" t="s">
        <v>74</v>
      </c>
      <c r="AD25" s="22" t="s">
        <v>74</v>
      </c>
      <c r="AE25" s="22" t="s">
        <v>74</v>
      </c>
      <c r="AF25" s="22" t="s">
        <v>74</v>
      </c>
      <c r="AG25" s="22" t="s">
        <v>74</v>
      </c>
      <c r="AH25" s="22" t="s">
        <v>74</v>
      </c>
      <c r="AI25" s="23" t="s">
        <v>75</v>
      </c>
      <c r="AJ25" s="22" t="s">
        <v>74</v>
      </c>
      <c r="AK25" s="20" t="s">
        <v>75</v>
      </c>
      <c r="AL25" s="23" t="s">
        <v>76</v>
      </c>
      <c r="AM25" s="22"/>
      <c r="AN25" s="20"/>
      <c r="AO25" s="23"/>
      <c r="AP25" s="22"/>
      <c r="AQ25" s="23"/>
      <c r="AR25" s="22"/>
      <c r="AS25" s="23"/>
      <c r="AT25" s="22"/>
      <c r="AU25" s="23"/>
      <c r="AV25" s="24"/>
      <c r="AW25" s="30">
        <f t="shared" si="1"/>
        <v>0.82352941176470584</v>
      </c>
    </row>
    <row r="26" spans="1:49" ht="42" customHeight="1" x14ac:dyDescent="0.5">
      <c r="A26" s="25" t="s">
        <v>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7">
        <f>COUNTIF(V11:V25,"C")/15</f>
        <v>1</v>
      </c>
      <c r="W26" s="27">
        <f t="shared" ref="W26:AV26" si="2">COUNTIF(W11:W25,"C")/15</f>
        <v>1</v>
      </c>
      <c r="X26" s="27">
        <f t="shared" si="2"/>
        <v>1</v>
      </c>
      <c r="Y26" s="27">
        <f t="shared" si="2"/>
        <v>1</v>
      </c>
      <c r="Z26" s="27">
        <f t="shared" si="2"/>
        <v>1</v>
      </c>
      <c r="AA26" s="27">
        <f t="shared" si="2"/>
        <v>1</v>
      </c>
      <c r="AB26" s="27">
        <f t="shared" si="2"/>
        <v>1</v>
      </c>
      <c r="AC26" s="27">
        <f t="shared" si="2"/>
        <v>1</v>
      </c>
      <c r="AD26" s="27">
        <f t="shared" si="2"/>
        <v>1</v>
      </c>
      <c r="AE26" s="27">
        <f t="shared" si="2"/>
        <v>1</v>
      </c>
      <c r="AF26" s="27">
        <f t="shared" si="2"/>
        <v>1</v>
      </c>
      <c r="AG26" s="27">
        <f t="shared" si="2"/>
        <v>1</v>
      </c>
      <c r="AH26" s="27">
        <f t="shared" si="2"/>
        <v>1</v>
      </c>
      <c r="AI26" s="27">
        <f t="shared" si="2"/>
        <v>0</v>
      </c>
      <c r="AJ26" s="27">
        <f t="shared" si="2"/>
        <v>1</v>
      </c>
      <c r="AK26" s="27">
        <f t="shared" si="2"/>
        <v>0</v>
      </c>
      <c r="AL26" s="27">
        <f t="shared" si="2"/>
        <v>0</v>
      </c>
      <c r="AM26" s="27">
        <f t="shared" si="2"/>
        <v>0</v>
      </c>
      <c r="AN26" s="27">
        <f t="shared" si="2"/>
        <v>0</v>
      </c>
      <c r="AO26" s="27">
        <f t="shared" si="2"/>
        <v>0</v>
      </c>
      <c r="AP26" s="27">
        <f t="shared" si="2"/>
        <v>0</v>
      </c>
      <c r="AQ26" s="27">
        <f t="shared" si="2"/>
        <v>0</v>
      </c>
      <c r="AR26" s="27">
        <f t="shared" si="2"/>
        <v>0</v>
      </c>
      <c r="AS26" s="27">
        <f t="shared" si="2"/>
        <v>0</v>
      </c>
      <c r="AT26" s="27">
        <f t="shared" si="2"/>
        <v>0</v>
      </c>
      <c r="AU26" s="27">
        <f t="shared" si="2"/>
        <v>0</v>
      </c>
      <c r="AV26" s="27">
        <f t="shared" si="2"/>
        <v>0</v>
      </c>
      <c r="AW26" s="28"/>
    </row>
  </sheetData>
  <mergeCells count="19">
    <mergeCell ref="B3:AC6"/>
    <mergeCell ref="AW5:AW6"/>
    <mergeCell ref="V9:W9"/>
    <mergeCell ref="A3:A8"/>
    <mergeCell ref="AW7:AW9"/>
    <mergeCell ref="AJ9:AL9"/>
    <mergeCell ref="AT9:AU9"/>
    <mergeCell ref="AE9:AF9"/>
    <mergeCell ref="AD3:AV4"/>
    <mergeCell ref="B7:AV8"/>
    <mergeCell ref="AG9:AI9"/>
    <mergeCell ref="X9:Y9"/>
    <mergeCell ref="Z9:AA9"/>
    <mergeCell ref="AM9:AO9"/>
    <mergeCell ref="AB9:AD9"/>
    <mergeCell ref="AD5:AV6"/>
    <mergeCell ref="AW3:AW4"/>
    <mergeCell ref="AP9:AQ9"/>
    <mergeCell ref="AR9:AS9"/>
  </mergeCells>
  <conditionalFormatting sqref="B11:AV25">
    <cfRule type="cellIs" dxfId="20" priority="1" stopIfTrue="1" operator="equal">
      <formula>"P"</formula>
    </cfRule>
    <cfRule type="cellIs" dxfId="19" priority="3" operator="equal">
      <formula>"E"</formula>
    </cfRule>
  </conditionalFormatting>
  <conditionalFormatting sqref="B11:AW25">
    <cfRule type="cellIs" dxfId="18" priority="2" operator="equal">
      <formula>"E"</formula>
    </cfRule>
  </conditionalFormatting>
  <conditionalFormatting sqref="V11:AV25">
    <cfRule type="expression" dxfId="17" priority="4">
      <formula>V11="C"</formula>
    </cfRule>
    <cfRule type="expression" dxfId="16" priority="5">
      <formula>V11="F"</formula>
    </cfRule>
    <cfRule type="expression" dxfId="15" priority="6">
      <formula>V11="EP"</formula>
    </cfRule>
  </conditionalFormatting>
  <dataValidations count="1">
    <dataValidation type="list" sqref="V11:AV25" xr:uid="{00000000-0002-0000-0000-000000000000}">
      <formula1>"C,F,EP"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6"/>
  <sheetViews>
    <sheetView topLeftCell="A67" workbookViewId="0">
      <selection activeCell="H12" sqref="H12"/>
    </sheetView>
  </sheetViews>
  <sheetFormatPr baseColWidth="10" defaultColWidth="9.140625" defaultRowHeight="15" x14ac:dyDescent="0.25"/>
  <cols>
    <col min="1" max="1" width="22" customWidth="1"/>
    <col min="2" max="2" width="13" customWidth="1"/>
    <col min="3" max="3" width="9" customWidth="1"/>
    <col min="4" max="4" width="45" customWidth="1"/>
    <col min="5" max="7" width="12" customWidth="1"/>
    <col min="8" max="8" width="14" customWidth="1"/>
    <col min="9" max="9" width="20" customWidth="1"/>
    <col min="10" max="10" width="16" customWidth="1"/>
  </cols>
  <sheetData>
    <row r="1" spans="1:10" ht="30" x14ac:dyDescent="0.25">
      <c r="A1" s="35" t="s">
        <v>77</v>
      </c>
      <c r="B1" s="35" t="s">
        <v>78</v>
      </c>
      <c r="C1" s="35" t="s">
        <v>79</v>
      </c>
      <c r="D1" s="35" t="s">
        <v>80</v>
      </c>
      <c r="E1" s="35" t="s">
        <v>81</v>
      </c>
      <c r="F1" s="35" t="s">
        <v>82</v>
      </c>
      <c r="G1" s="35" t="s">
        <v>83</v>
      </c>
      <c r="H1" s="35" t="s">
        <v>84</v>
      </c>
      <c r="I1" s="35" t="s">
        <v>85</v>
      </c>
      <c r="J1" s="35" t="s">
        <v>86</v>
      </c>
    </row>
    <row r="2" spans="1:10" x14ac:dyDescent="0.25">
      <c r="A2" s="96" t="s">
        <v>58</v>
      </c>
      <c r="B2" s="96" t="s">
        <v>6</v>
      </c>
      <c r="C2" s="96">
        <v>1</v>
      </c>
      <c r="D2" s="96" t="s">
        <v>38</v>
      </c>
      <c r="E2" s="96" t="s">
        <v>74</v>
      </c>
      <c r="F2" s="96" t="s">
        <v>74</v>
      </c>
      <c r="G2" s="97" t="s">
        <v>74</v>
      </c>
      <c r="H2" s="96">
        <f t="shared" ref="H2:H65" si="0">COUNTIF(E2:G2,"C")</f>
        <v>3</v>
      </c>
      <c r="I2" s="97">
        <f t="shared" ref="I2:I21" si="1">H2/3</f>
        <v>1</v>
      </c>
      <c r="J2" s="96" t="str">
        <f>'PROGRAMA LECTURA'!V11</f>
        <v>C</v>
      </c>
    </row>
    <row r="3" spans="1:10" x14ac:dyDescent="0.25">
      <c r="A3" s="96" t="s">
        <v>58</v>
      </c>
      <c r="B3" s="96" t="s">
        <v>6</v>
      </c>
      <c r="C3" s="96">
        <v>1</v>
      </c>
      <c r="D3" s="96" t="s">
        <v>39</v>
      </c>
      <c r="E3" s="96" t="s">
        <v>74</v>
      </c>
      <c r="F3" s="96" t="s">
        <v>74</v>
      </c>
      <c r="G3" s="97" t="s">
        <v>74</v>
      </c>
      <c r="H3" s="96">
        <f t="shared" si="0"/>
        <v>3</v>
      </c>
      <c r="I3" s="97">
        <f t="shared" si="1"/>
        <v>1</v>
      </c>
      <c r="J3" s="96" t="str">
        <f>'PROGRAMA LECTURA'!W11</f>
        <v>C</v>
      </c>
    </row>
    <row r="4" spans="1:10" ht="45" x14ac:dyDescent="0.25">
      <c r="A4" s="96" t="s">
        <v>58</v>
      </c>
      <c r="B4" s="96" t="s">
        <v>7</v>
      </c>
      <c r="C4" s="96">
        <v>2</v>
      </c>
      <c r="D4" s="96" t="s">
        <v>40</v>
      </c>
      <c r="E4" s="96" t="s">
        <v>74</v>
      </c>
      <c r="F4" s="96" t="s">
        <v>74</v>
      </c>
      <c r="G4" s="97" t="s">
        <v>74</v>
      </c>
      <c r="H4" s="96">
        <f t="shared" si="0"/>
        <v>3</v>
      </c>
      <c r="I4" s="97">
        <f t="shared" si="1"/>
        <v>1</v>
      </c>
      <c r="J4" s="96" t="str">
        <f>'PROGRAMA LECTURA'!X11</f>
        <v>C</v>
      </c>
    </row>
    <row r="5" spans="1:10" x14ac:dyDescent="0.25">
      <c r="A5" s="96" t="s">
        <v>58</v>
      </c>
      <c r="B5" s="96" t="s">
        <v>7</v>
      </c>
      <c r="C5" s="96">
        <v>2</v>
      </c>
      <c r="D5" s="96" t="s">
        <v>20</v>
      </c>
      <c r="E5" s="96" t="s">
        <v>74</v>
      </c>
      <c r="F5" s="96" t="s">
        <v>74</v>
      </c>
      <c r="G5" s="97" t="s">
        <v>74</v>
      </c>
      <c r="H5" s="96">
        <f t="shared" si="0"/>
        <v>3</v>
      </c>
      <c r="I5" s="97">
        <f t="shared" si="1"/>
        <v>1</v>
      </c>
      <c r="J5" s="96" t="str">
        <f>'PROGRAMA LECTURA'!Y11</f>
        <v>C</v>
      </c>
    </row>
    <row r="6" spans="1:10" x14ac:dyDescent="0.25">
      <c r="A6" s="96" t="s">
        <v>58</v>
      </c>
      <c r="B6" s="96" t="s">
        <v>8</v>
      </c>
      <c r="C6" s="96">
        <v>3</v>
      </c>
      <c r="D6" s="96" t="s">
        <v>41</v>
      </c>
      <c r="E6" s="96" t="s">
        <v>74</v>
      </c>
      <c r="F6" s="96" t="s">
        <v>74</v>
      </c>
      <c r="G6" s="97" t="s">
        <v>74</v>
      </c>
      <c r="H6" s="96">
        <f t="shared" si="0"/>
        <v>3</v>
      </c>
      <c r="I6" s="97">
        <f t="shared" si="1"/>
        <v>1</v>
      </c>
      <c r="J6" s="96" t="str">
        <f>'PROGRAMA LECTURA'!Z11</f>
        <v>C</v>
      </c>
    </row>
    <row r="7" spans="1:10" x14ac:dyDescent="0.25">
      <c r="A7" s="96" t="s">
        <v>58</v>
      </c>
      <c r="B7" s="96" t="s">
        <v>8</v>
      </c>
      <c r="C7" s="96">
        <v>3</v>
      </c>
      <c r="D7" s="96" t="s">
        <v>42</v>
      </c>
      <c r="E7" s="96" t="s">
        <v>74</v>
      </c>
      <c r="F7" s="96" t="s">
        <v>74</v>
      </c>
      <c r="G7" s="97" t="s">
        <v>74</v>
      </c>
      <c r="H7" s="96">
        <f t="shared" si="0"/>
        <v>3</v>
      </c>
      <c r="I7" s="97">
        <f t="shared" si="1"/>
        <v>1</v>
      </c>
      <c r="J7" s="96" t="str">
        <f>'PROGRAMA LECTURA'!AA11</f>
        <v>C</v>
      </c>
    </row>
    <row r="8" spans="1:10" ht="60" x14ac:dyDescent="0.25">
      <c r="A8" s="96" t="s">
        <v>58</v>
      </c>
      <c r="B8" s="96" t="s">
        <v>9</v>
      </c>
      <c r="C8" s="96">
        <v>4</v>
      </c>
      <c r="D8" s="96" t="s">
        <v>43</v>
      </c>
      <c r="E8" s="96" t="s">
        <v>74</v>
      </c>
      <c r="F8" s="96" t="s">
        <v>74</v>
      </c>
      <c r="G8" s="97" t="s">
        <v>74</v>
      </c>
      <c r="H8" s="96">
        <f t="shared" si="0"/>
        <v>3</v>
      </c>
      <c r="I8" s="97">
        <f t="shared" si="1"/>
        <v>1</v>
      </c>
      <c r="J8" s="96" t="str">
        <f>'PROGRAMA LECTURA'!AB11</f>
        <v>C</v>
      </c>
    </row>
    <row r="9" spans="1:10" x14ac:dyDescent="0.25">
      <c r="A9" s="96" t="s">
        <v>58</v>
      </c>
      <c r="B9" s="96" t="s">
        <v>9</v>
      </c>
      <c r="C9" s="96">
        <v>4</v>
      </c>
      <c r="D9" s="96" t="s">
        <v>44</v>
      </c>
      <c r="E9" s="96" t="s">
        <v>74</v>
      </c>
      <c r="F9" s="96" t="s">
        <v>74</v>
      </c>
      <c r="G9" s="97" t="s">
        <v>74</v>
      </c>
      <c r="H9" s="96">
        <f t="shared" si="0"/>
        <v>3</v>
      </c>
      <c r="I9" s="97">
        <f t="shared" si="1"/>
        <v>1</v>
      </c>
      <c r="J9" s="96" t="str">
        <f>'PROGRAMA LECTURA'!AC11</f>
        <v>C</v>
      </c>
    </row>
    <row r="10" spans="1:10" ht="30" x14ac:dyDescent="0.25">
      <c r="A10" s="96" t="s">
        <v>58</v>
      </c>
      <c r="B10" s="96" t="s">
        <v>9</v>
      </c>
      <c r="C10" s="96">
        <v>4</v>
      </c>
      <c r="D10" s="96" t="s">
        <v>45</v>
      </c>
      <c r="E10" s="96" t="s">
        <v>74</v>
      </c>
      <c r="F10" s="96" t="s">
        <v>74</v>
      </c>
      <c r="G10" s="97" t="s">
        <v>74</v>
      </c>
      <c r="H10" s="96">
        <f t="shared" si="0"/>
        <v>3</v>
      </c>
      <c r="I10" s="97">
        <f t="shared" si="1"/>
        <v>1</v>
      </c>
      <c r="J10" s="96" t="str">
        <f>'PROGRAMA LECTURA'!AD11</f>
        <v>C</v>
      </c>
    </row>
    <row r="11" spans="1:10" x14ac:dyDescent="0.25">
      <c r="A11" s="96" t="s">
        <v>58</v>
      </c>
      <c r="B11" s="96" t="s">
        <v>10</v>
      </c>
      <c r="C11" s="96">
        <v>5</v>
      </c>
      <c r="D11" s="96" t="s">
        <v>46</v>
      </c>
      <c r="E11" s="96" t="s">
        <v>74</v>
      </c>
      <c r="F11" s="96" t="s">
        <v>74</v>
      </c>
      <c r="G11" s="97" t="s">
        <v>74</v>
      </c>
      <c r="H11" s="96">
        <f t="shared" si="0"/>
        <v>3</v>
      </c>
      <c r="I11" s="97">
        <f t="shared" si="1"/>
        <v>1</v>
      </c>
      <c r="J11" s="96" t="str">
        <f>'PROGRAMA LECTURA'!AE11</f>
        <v>C</v>
      </c>
    </row>
    <row r="12" spans="1:10" ht="30" x14ac:dyDescent="0.25">
      <c r="A12" s="96" t="s">
        <v>58</v>
      </c>
      <c r="B12" s="96" t="s">
        <v>10</v>
      </c>
      <c r="C12" s="96">
        <v>5</v>
      </c>
      <c r="D12" s="96" t="s">
        <v>47</v>
      </c>
      <c r="E12" s="96" t="s">
        <v>74</v>
      </c>
      <c r="F12" s="96" t="s">
        <v>74</v>
      </c>
      <c r="G12" s="97" t="s">
        <v>74</v>
      </c>
      <c r="H12" s="96">
        <f t="shared" si="0"/>
        <v>3</v>
      </c>
      <c r="I12" s="97">
        <f t="shared" si="1"/>
        <v>1</v>
      </c>
      <c r="J12" s="96" t="str">
        <f>'PROGRAMA LECTURA'!AF11</f>
        <v>C</v>
      </c>
    </row>
    <row r="13" spans="1:10" x14ac:dyDescent="0.25">
      <c r="A13" s="96" t="s">
        <v>58</v>
      </c>
      <c r="B13" s="96" t="s">
        <v>11</v>
      </c>
      <c r="C13" s="96">
        <v>6</v>
      </c>
      <c r="D13" s="96" t="s">
        <v>20</v>
      </c>
      <c r="E13" s="96" t="s">
        <v>74</v>
      </c>
      <c r="F13" s="96" t="s">
        <v>74</v>
      </c>
      <c r="G13" s="97" t="s">
        <v>74</v>
      </c>
      <c r="H13" s="96">
        <f t="shared" si="0"/>
        <v>3</v>
      </c>
      <c r="I13" s="97">
        <f t="shared" si="1"/>
        <v>1</v>
      </c>
      <c r="J13" s="96" t="str">
        <f>'PROGRAMA LECTURA'!AG11</f>
        <v>C</v>
      </c>
    </row>
    <row r="14" spans="1:10" ht="45" x14ac:dyDescent="0.25">
      <c r="A14" s="96" t="s">
        <v>58</v>
      </c>
      <c r="B14" s="96" t="s">
        <v>11</v>
      </c>
      <c r="C14" s="96">
        <v>6</v>
      </c>
      <c r="D14" s="96" t="s">
        <v>48</v>
      </c>
      <c r="E14" s="96" t="s">
        <v>74</v>
      </c>
      <c r="F14" s="96" t="s">
        <v>74</v>
      </c>
      <c r="G14" s="97" t="s">
        <v>74</v>
      </c>
      <c r="H14" s="96">
        <f t="shared" si="0"/>
        <v>3</v>
      </c>
      <c r="I14" s="97">
        <f t="shared" si="1"/>
        <v>1</v>
      </c>
      <c r="J14" s="96" t="str">
        <f>'PROGRAMA LECTURA'!AH11</f>
        <v>C</v>
      </c>
    </row>
    <row r="15" spans="1:10" x14ac:dyDescent="0.25">
      <c r="A15" s="96" t="s">
        <v>58</v>
      </c>
      <c r="B15" s="96" t="s">
        <v>11</v>
      </c>
      <c r="C15" s="96">
        <v>6</v>
      </c>
      <c r="D15" s="96" t="s">
        <v>49</v>
      </c>
      <c r="E15" s="96" t="s">
        <v>75</v>
      </c>
      <c r="F15" s="96" t="s">
        <v>75</v>
      </c>
      <c r="G15" s="97" t="s">
        <v>75</v>
      </c>
      <c r="H15" s="96">
        <f t="shared" si="0"/>
        <v>0</v>
      </c>
      <c r="I15" s="97">
        <f t="shared" si="1"/>
        <v>0</v>
      </c>
      <c r="J15" s="96" t="str">
        <f>'PROGRAMA LECTURA'!AI11</f>
        <v>F</v>
      </c>
    </row>
    <row r="16" spans="1:10" x14ac:dyDescent="0.25">
      <c r="A16" s="96" t="s">
        <v>58</v>
      </c>
      <c r="B16" s="96" t="s">
        <v>12</v>
      </c>
      <c r="C16" s="96">
        <v>7</v>
      </c>
      <c r="D16" s="96" t="s">
        <v>38</v>
      </c>
      <c r="E16" s="96" t="s">
        <v>74</v>
      </c>
      <c r="F16" s="96" t="s">
        <v>74</v>
      </c>
      <c r="G16" s="96" t="s">
        <v>74</v>
      </c>
      <c r="H16" s="96">
        <f t="shared" si="0"/>
        <v>3</v>
      </c>
      <c r="I16" s="97">
        <f t="shared" si="1"/>
        <v>1</v>
      </c>
      <c r="J16" s="96" t="str">
        <f>'PROGRAMA LECTURA'!AJ11</f>
        <v>C</v>
      </c>
    </row>
    <row r="17" spans="1:10" ht="60" x14ac:dyDescent="0.25">
      <c r="A17" s="96" t="s">
        <v>58</v>
      </c>
      <c r="B17" s="96" t="s">
        <v>12</v>
      </c>
      <c r="C17" s="96">
        <v>7</v>
      </c>
      <c r="D17" s="96" t="s">
        <v>87</v>
      </c>
      <c r="E17" s="96"/>
      <c r="F17" s="96"/>
      <c r="G17" s="97"/>
      <c r="H17" s="96">
        <f t="shared" si="0"/>
        <v>0</v>
      </c>
      <c r="I17" s="97">
        <f t="shared" si="1"/>
        <v>0</v>
      </c>
      <c r="J17" s="96" t="str">
        <f>'PROGRAMA LECTURA'!AK11</f>
        <v>F</v>
      </c>
    </row>
    <row r="18" spans="1:10" x14ac:dyDescent="0.25">
      <c r="A18" s="96" t="s">
        <v>58</v>
      </c>
      <c r="B18" s="96" t="s">
        <v>12</v>
      </c>
      <c r="C18" s="96">
        <v>7</v>
      </c>
      <c r="D18" s="96" t="s">
        <v>51</v>
      </c>
      <c r="E18" s="96" t="s">
        <v>76</v>
      </c>
      <c r="F18" s="96" t="s">
        <v>76</v>
      </c>
      <c r="G18" s="97" t="s">
        <v>76</v>
      </c>
      <c r="H18" s="96">
        <f t="shared" si="0"/>
        <v>0</v>
      </c>
      <c r="I18" s="97">
        <f t="shared" si="1"/>
        <v>0</v>
      </c>
      <c r="J18" s="96" t="str">
        <f>'PROGRAMA LECTURA'!AL11</f>
        <v>EP</v>
      </c>
    </row>
    <row r="19" spans="1:10" x14ac:dyDescent="0.25">
      <c r="A19" s="96" t="s">
        <v>58</v>
      </c>
      <c r="B19" s="96" t="s">
        <v>13</v>
      </c>
      <c r="C19" s="96">
        <v>8</v>
      </c>
      <c r="D19" s="96" t="s">
        <v>52</v>
      </c>
      <c r="E19" s="96"/>
      <c r="F19" s="96"/>
      <c r="G19" s="97"/>
      <c r="H19" s="96">
        <f t="shared" si="0"/>
        <v>0</v>
      </c>
      <c r="I19" s="97">
        <f t="shared" si="1"/>
        <v>0</v>
      </c>
      <c r="J19" s="96">
        <f>'PROGRAMA LECTURA'!AM11</f>
        <v>0</v>
      </c>
    </row>
    <row r="20" spans="1:10" x14ac:dyDescent="0.25">
      <c r="A20" s="96" t="s">
        <v>58</v>
      </c>
      <c r="B20" s="96" t="s">
        <v>13</v>
      </c>
      <c r="C20" s="96">
        <v>8</v>
      </c>
      <c r="D20" s="96" t="s">
        <v>53</v>
      </c>
      <c r="E20" s="96"/>
      <c r="F20" s="96"/>
      <c r="G20" s="97"/>
      <c r="H20" s="96">
        <f t="shared" si="0"/>
        <v>0</v>
      </c>
      <c r="I20" s="97">
        <f t="shared" si="1"/>
        <v>0</v>
      </c>
      <c r="J20" s="96">
        <f>'PROGRAMA LECTURA'!AN11</f>
        <v>0</v>
      </c>
    </row>
    <row r="21" spans="1:10" ht="30" x14ac:dyDescent="0.25">
      <c r="A21" s="96" t="s">
        <v>58</v>
      </c>
      <c r="B21" s="96" t="s">
        <v>13</v>
      </c>
      <c r="C21" s="96">
        <v>8</v>
      </c>
      <c r="D21" s="96" t="s">
        <v>54</v>
      </c>
      <c r="E21" s="96"/>
      <c r="F21" s="96"/>
      <c r="G21" s="97"/>
      <c r="H21" s="96">
        <f t="shared" si="0"/>
        <v>0</v>
      </c>
      <c r="I21" s="97">
        <f t="shared" si="1"/>
        <v>0</v>
      </c>
      <c r="J21" s="96">
        <f>'PROGRAMA LECTURA'!AO11</f>
        <v>0</v>
      </c>
    </row>
    <row r="22" spans="1:10" x14ac:dyDescent="0.25">
      <c r="A22" s="96" t="s">
        <v>58</v>
      </c>
      <c r="B22" s="96" t="s">
        <v>14</v>
      </c>
      <c r="C22" s="96">
        <v>9</v>
      </c>
      <c r="D22" s="96" t="s">
        <v>55</v>
      </c>
      <c r="E22" s="96"/>
      <c r="F22" s="96"/>
      <c r="G22" s="96"/>
      <c r="H22" s="96">
        <f t="shared" si="0"/>
        <v>0</v>
      </c>
      <c r="I22" s="97">
        <f>H22/3</f>
        <v>0</v>
      </c>
      <c r="J22" s="96">
        <f>'PROGRAMA LECTURA'!AP11</f>
        <v>0</v>
      </c>
    </row>
    <row r="23" spans="1:10" x14ac:dyDescent="0.25">
      <c r="A23" s="98" t="s">
        <v>58</v>
      </c>
      <c r="B23" s="98" t="s">
        <v>14</v>
      </c>
      <c r="C23" s="98">
        <v>9</v>
      </c>
      <c r="D23" s="98" t="s">
        <v>56</v>
      </c>
      <c r="E23" s="98"/>
      <c r="F23" s="98"/>
      <c r="G23" s="98"/>
      <c r="H23" s="98">
        <f t="shared" si="0"/>
        <v>0</v>
      </c>
      <c r="I23" s="99">
        <f>H23/3</f>
        <v>0</v>
      </c>
      <c r="J23" s="100">
        <f>'PROGRAMA LECTURA'!AQ11</f>
        <v>0</v>
      </c>
    </row>
    <row r="24" spans="1:10" x14ac:dyDescent="0.25">
      <c r="A24" s="96" t="s">
        <v>58</v>
      </c>
      <c r="B24" s="96" t="s">
        <v>15</v>
      </c>
      <c r="C24" s="96">
        <v>10</v>
      </c>
      <c r="D24" s="96" t="s">
        <v>20</v>
      </c>
      <c r="E24" s="96"/>
      <c r="F24" s="96"/>
      <c r="G24" s="97"/>
      <c r="H24" s="96">
        <f t="shared" si="0"/>
        <v>0</v>
      </c>
      <c r="I24" s="97">
        <f t="shared" ref="I24:I43" si="2">H24/3</f>
        <v>0</v>
      </c>
      <c r="J24" s="96">
        <f>'PROGRAMA LECTURA'!AR11</f>
        <v>0</v>
      </c>
    </row>
    <row r="25" spans="1:10" x14ac:dyDescent="0.25">
      <c r="A25" s="96" t="s">
        <v>58</v>
      </c>
      <c r="B25" s="96" t="s">
        <v>15</v>
      </c>
      <c r="C25" s="96">
        <v>10</v>
      </c>
      <c r="D25" s="96" t="s">
        <v>42</v>
      </c>
      <c r="E25" s="96"/>
      <c r="F25" s="96"/>
      <c r="G25" s="97"/>
      <c r="H25" s="96">
        <f t="shared" si="0"/>
        <v>0</v>
      </c>
      <c r="I25" s="97">
        <f t="shared" si="2"/>
        <v>0</v>
      </c>
      <c r="J25" s="96">
        <f>'PROGRAMA LECTURA'!AS11</f>
        <v>0</v>
      </c>
    </row>
    <row r="26" spans="1:10" ht="30" x14ac:dyDescent="0.25">
      <c r="A26" s="96" t="s">
        <v>58</v>
      </c>
      <c r="B26" s="96" t="s">
        <v>16</v>
      </c>
      <c r="C26" s="96">
        <v>11</v>
      </c>
      <c r="D26" s="96" t="s">
        <v>57</v>
      </c>
      <c r="E26" s="96"/>
      <c r="F26" s="96"/>
      <c r="G26" s="97"/>
      <c r="H26" s="96">
        <f t="shared" si="0"/>
        <v>0</v>
      </c>
      <c r="I26" s="97">
        <f t="shared" si="2"/>
        <v>0</v>
      </c>
      <c r="J26" s="96">
        <f>'PROGRAMA LECTURA'!AT11</f>
        <v>0</v>
      </c>
    </row>
    <row r="27" spans="1:10" x14ac:dyDescent="0.25">
      <c r="A27" s="96" t="s">
        <v>58</v>
      </c>
      <c r="B27" s="96" t="s">
        <v>16</v>
      </c>
      <c r="C27" s="96">
        <v>11</v>
      </c>
      <c r="D27" s="96" t="s">
        <v>39</v>
      </c>
      <c r="E27" s="96"/>
      <c r="F27" s="96"/>
      <c r="G27" s="97"/>
      <c r="H27" s="96">
        <f t="shared" si="0"/>
        <v>0</v>
      </c>
      <c r="I27" s="97">
        <f t="shared" si="2"/>
        <v>0</v>
      </c>
      <c r="J27" s="96">
        <f>'PROGRAMA LECTURA'!AU11</f>
        <v>0</v>
      </c>
    </row>
    <row r="28" spans="1:10" x14ac:dyDescent="0.25">
      <c r="A28" s="96" t="s">
        <v>58</v>
      </c>
      <c r="B28" s="96" t="s">
        <v>17</v>
      </c>
      <c r="C28" s="96">
        <v>12</v>
      </c>
      <c r="D28" s="96" t="s">
        <v>38</v>
      </c>
      <c r="E28" s="96"/>
      <c r="F28" s="96"/>
      <c r="G28" s="97"/>
      <c r="H28" s="96">
        <f t="shared" si="0"/>
        <v>0</v>
      </c>
      <c r="I28" s="97">
        <f t="shared" si="2"/>
        <v>0</v>
      </c>
      <c r="J28" s="96">
        <f>'PROGRAMA LECTURA'!AV11</f>
        <v>0</v>
      </c>
    </row>
    <row r="29" spans="1:10" x14ac:dyDescent="0.25">
      <c r="A29" s="101" t="s">
        <v>60</v>
      </c>
      <c r="B29" s="96" t="s">
        <v>6</v>
      </c>
      <c r="C29" s="96">
        <v>1</v>
      </c>
      <c r="D29" s="96" t="s">
        <v>38</v>
      </c>
      <c r="E29" s="96" t="s">
        <v>74</v>
      </c>
      <c r="F29" s="96" t="s">
        <v>74</v>
      </c>
      <c r="G29" s="97" t="s">
        <v>74</v>
      </c>
      <c r="H29" s="96">
        <f t="shared" si="0"/>
        <v>3</v>
      </c>
      <c r="I29" s="97">
        <f t="shared" si="2"/>
        <v>1</v>
      </c>
      <c r="J29" s="96" t="str">
        <f>'PROGRAMA LECTURA'!V12</f>
        <v>C</v>
      </c>
    </row>
    <row r="30" spans="1:10" x14ac:dyDescent="0.25">
      <c r="A30" s="101" t="s">
        <v>60</v>
      </c>
      <c r="B30" s="96" t="s">
        <v>6</v>
      </c>
      <c r="C30" s="96">
        <v>1</v>
      </c>
      <c r="D30" s="96" t="s">
        <v>39</v>
      </c>
      <c r="E30" s="96" t="s">
        <v>74</v>
      </c>
      <c r="F30" s="96" t="s">
        <v>74</v>
      </c>
      <c r="G30" s="97" t="s">
        <v>74</v>
      </c>
      <c r="H30" s="96">
        <f t="shared" si="0"/>
        <v>3</v>
      </c>
      <c r="I30" s="97">
        <f t="shared" si="2"/>
        <v>1</v>
      </c>
      <c r="J30" s="96" t="str">
        <f>'PROGRAMA LECTURA'!W12</f>
        <v>C</v>
      </c>
    </row>
    <row r="31" spans="1:10" ht="45" x14ac:dyDescent="0.25">
      <c r="A31" s="101" t="s">
        <v>60</v>
      </c>
      <c r="B31" s="96" t="s">
        <v>7</v>
      </c>
      <c r="C31" s="96">
        <v>2</v>
      </c>
      <c r="D31" s="96" t="s">
        <v>40</v>
      </c>
      <c r="E31" s="96" t="s">
        <v>74</v>
      </c>
      <c r="F31" s="96" t="s">
        <v>74</v>
      </c>
      <c r="G31" s="97" t="s">
        <v>74</v>
      </c>
      <c r="H31" s="96">
        <f t="shared" si="0"/>
        <v>3</v>
      </c>
      <c r="I31" s="97">
        <f t="shared" si="2"/>
        <v>1</v>
      </c>
      <c r="J31" s="96" t="str">
        <f>'PROGRAMA LECTURA'!X12</f>
        <v>C</v>
      </c>
    </row>
    <row r="32" spans="1:10" x14ac:dyDescent="0.25">
      <c r="A32" s="101" t="s">
        <v>60</v>
      </c>
      <c r="B32" s="96" t="s">
        <v>7</v>
      </c>
      <c r="C32" s="96">
        <v>2</v>
      </c>
      <c r="D32" s="96" t="s">
        <v>20</v>
      </c>
      <c r="E32" s="96" t="s">
        <v>74</v>
      </c>
      <c r="F32" s="96" t="s">
        <v>74</v>
      </c>
      <c r="G32" s="97" t="s">
        <v>74</v>
      </c>
      <c r="H32" s="96">
        <f t="shared" si="0"/>
        <v>3</v>
      </c>
      <c r="I32" s="97">
        <f t="shared" si="2"/>
        <v>1</v>
      </c>
      <c r="J32" s="96" t="str">
        <f>'PROGRAMA LECTURA'!Y12</f>
        <v>C</v>
      </c>
    </row>
    <row r="33" spans="1:10" x14ac:dyDescent="0.25">
      <c r="A33" s="101" t="s">
        <v>60</v>
      </c>
      <c r="B33" s="96" t="s">
        <v>8</v>
      </c>
      <c r="C33" s="96">
        <v>3</v>
      </c>
      <c r="D33" s="96" t="s">
        <v>41</v>
      </c>
      <c r="E33" s="96" t="s">
        <v>74</v>
      </c>
      <c r="F33" s="96" t="s">
        <v>74</v>
      </c>
      <c r="G33" s="97" t="s">
        <v>74</v>
      </c>
      <c r="H33" s="96">
        <f t="shared" si="0"/>
        <v>3</v>
      </c>
      <c r="I33" s="97">
        <f t="shared" si="2"/>
        <v>1</v>
      </c>
      <c r="J33" s="96" t="str">
        <f>'PROGRAMA LECTURA'!Z12</f>
        <v>C</v>
      </c>
    </row>
    <row r="34" spans="1:10" x14ac:dyDescent="0.25">
      <c r="A34" s="101" t="s">
        <v>60</v>
      </c>
      <c r="B34" s="96" t="s">
        <v>8</v>
      </c>
      <c r="C34" s="96">
        <v>3</v>
      </c>
      <c r="D34" s="96" t="s">
        <v>42</v>
      </c>
      <c r="E34" s="96" t="s">
        <v>74</v>
      </c>
      <c r="F34" s="96" t="s">
        <v>74</v>
      </c>
      <c r="G34" s="97" t="s">
        <v>74</v>
      </c>
      <c r="H34" s="96">
        <f t="shared" si="0"/>
        <v>3</v>
      </c>
      <c r="I34" s="97">
        <f t="shared" si="2"/>
        <v>1</v>
      </c>
      <c r="J34" s="96" t="str">
        <f>'PROGRAMA LECTURA'!AA12</f>
        <v>C</v>
      </c>
    </row>
    <row r="35" spans="1:10" ht="60" x14ac:dyDescent="0.25">
      <c r="A35" s="101" t="s">
        <v>60</v>
      </c>
      <c r="B35" s="96" t="s">
        <v>9</v>
      </c>
      <c r="C35" s="96">
        <v>4</v>
      </c>
      <c r="D35" s="96" t="s">
        <v>43</v>
      </c>
      <c r="E35" s="96" t="s">
        <v>74</v>
      </c>
      <c r="F35" s="96" t="s">
        <v>74</v>
      </c>
      <c r="G35" s="97" t="s">
        <v>74</v>
      </c>
      <c r="H35" s="96">
        <f t="shared" si="0"/>
        <v>3</v>
      </c>
      <c r="I35" s="97">
        <f t="shared" si="2"/>
        <v>1</v>
      </c>
      <c r="J35" s="96" t="str">
        <f>'PROGRAMA LECTURA'!AB12</f>
        <v>C</v>
      </c>
    </row>
    <row r="36" spans="1:10" x14ac:dyDescent="0.25">
      <c r="A36" s="101" t="s">
        <v>60</v>
      </c>
      <c r="B36" s="96" t="s">
        <v>9</v>
      </c>
      <c r="C36" s="96">
        <v>4</v>
      </c>
      <c r="D36" s="96" t="s">
        <v>44</v>
      </c>
      <c r="E36" s="96" t="s">
        <v>74</v>
      </c>
      <c r="F36" s="96" t="s">
        <v>74</v>
      </c>
      <c r="G36" s="97" t="s">
        <v>74</v>
      </c>
      <c r="H36" s="96">
        <f t="shared" si="0"/>
        <v>3</v>
      </c>
      <c r="I36" s="97">
        <f t="shared" si="2"/>
        <v>1</v>
      </c>
      <c r="J36" s="96" t="str">
        <f>'PROGRAMA LECTURA'!AC12</f>
        <v>C</v>
      </c>
    </row>
    <row r="37" spans="1:10" ht="30" x14ac:dyDescent="0.25">
      <c r="A37" s="101" t="s">
        <v>60</v>
      </c>
      <c r="B37" s="96" t="s">
        <v>9</v>
      </c>
      <c r="C37" s="96">
        <v>4</v>
      </c>
      <c r="D37" s="96" t="s">
        <v>45</v>
      </c>
      <c r="E37" s="96" t="s">
        <v>74</v>
      </c>
      <c r="F37" s="96" t="s">
        <v>74</v>
      </c>
      <c r="G37" s="97" t="s">
        <v>74</v>
      </c>
      <c r="H37" s="96">
        <f t="shared" si="0"/>
        <v>3</v>
      </c>
      <c r="I37" s="97">
        <f t="shared" si="2"/>
        <v>1</v>
      </c>
      <c r="J37" s="96" t="str">
        <f>'PROGRAMA LECTURA'!AD12</f>
        <v>C</v>
      </c>
    </row>
    <row r="38" spans="1:10" x14ac:dyDescent="0.25">
      <c r="A38" s="101" t="s">
        <v>60</v>
      </c>
      <c r="B38" s="96" t="s">
        <v>10</v>
      </c>
      <c r="C38" s="96">
        <v>5</v>
      </c>
      <c r="D38" s="96" t="s">
        <v>46</v>
      </c>
      <c r="E38" s="96" t="s">
        <v>74</v>
      </c>
      <c r="F38" s="96" t="s">
        <v>74</v>
      </c>
      <c r="G38" s="97" t="s">
        <v>74</v>
      </c>
      <c r="H38" s="96">
        <f t="shared" si="0"/>
        <v>3</v>
      </c>
      <c r="I38" s="97">
        <f t="shared" si="2"/>
        <v>1</v>
      </c>
      <c r="J38" s="96" t="str">
        <f>'PROGRAMA LECTURA'!AE12</f>
        <v>C</v>
      </c>
    </row>
    <row r="39" spans="1:10" ht="30" x14ac:dyDescent="0.25">
      <c r="A39" s="101" t="s">
        <v>60</v>
      </c>
      <c r="B39" s="96" t="s">
        <v>10</v>
      </c>
      <c r="C39" s="96">
        <v>5</v>
      </c>
      <c r="D39" s="96" t="s">
        <v>47</v>
      </c>
      <c r="E39" s="96" t="s">
        <v>74</v>
      </c>
      <c r="F39" s="96" t="s">
        <v>74</v>
      </c>
      <c r="G39" s="97" t="s">
        <v>74</v>
      </c>
      <c r="H39" s="96">
        <f t="shared" si="0"/>
        <v>3</v>
      </c>
      <c r="I39" s="97">
        <f t="shared" si="2"/>
        <v>1</v>
      </c>
      <c r="J39" s="96" t="str">
        <f>'PROGRAMA LECTURA'!AF12</f>
        <v>C</v>
      </c>
    </row>
    <row r="40" spans="1:10" x14ac:dyDescent="0.25">
      <c r="A40" s="101" t="s">
        <v>60</v>
      </c>
      <c r="B40" s="96" t="s">
        <v>11</v>
      </c>
      <c r="C40" s="96">
        <v>6</v>
      </c>
      <c r="D40" s="96" t="s">
        <v>20</v>
      </c>
      <c r="E40" s="96" t="s">
        <v>74</v>
      </c>
      <c r="F40" s="96" t="s">
        <v>74</v>
      </c>
      <c r="G40" s="97" t="s">
        <v>74</v>
      </c>
      <c r="H40" s="96">
        <f t="shared" si="0"/>
        <v>3</v>
      </c>
      <c r="I40" s="97">
        <f t="shared" si="2"/>
        <v>1</v>
      </c>
      <c r="J40" s="96" t="str">
        <f>'PROGRAMA LECTURA'!AG12</f>
        <v>C</v>
      </c>
    </row>
    <row r="41" spans="1:10" ht="45" x14ac:dyDescent="0.25">
      <c r="A41" s="101" t="s">
        <v>60</v>
      </c>
      <c r="B41" s="96" t="s">
        <v>11</v>
      </c>
      <c r="C41" s="96">
        <v>6</v>
      </c>
      <c r="D41" s="96" t="s">
        <v>48</v>
      </c>
      <c r="E41" s="96" t="s">
        <v>74</v>
      </c>
      <c r="F41" s="96" t="s">
        <v>74</v>
      </c>
      <c r="G41" s="97" t="s">
        <v>74</v>
      </c>
      <c r="H41" s="96">
        <f t="shared" si="0"/>
        <v>3</v>
      </c>
      <c r="I41" s="97">
        <f t="shared" si="2"/>
        <v>1</v>
      </c>
      <c r="J41" s="96" t="str">
        <f>'PROGRAMA LECTURA'!AH12</f>
        <v>C</v>
      </c>
    </row>
    <row r="42" spans="1:10" x14ac:dyDescent="0.25">
      <c r="A42" s="101" t="s">
        <v>60</v>
      </c>
      <c r="B42" s="96" t="s">
        <v>11</v>
      </c>
      <c r="C42" s="96">
        <v>6</v>
      </c>
      <c r="D42" s="96" t="s">
        <v>49</v>
      </c>
      <c r="E42" s="96" t="s">
        <v>75</v>
      </c>
      <c r="F42" s="96" t="s">
        <v>75</v>
      </c>
      <c r="G42" s="97" t="s">
        <v>75</v>
      </c>
      <c r="H42" s="96">
        <f t="shared" si="0"/>
        <v>0</v>
      </c>
      <c r="I42" s="97">
        <f t="shared" si="2"/>
        <v>0</v>
      </c>
      <c r="J42" s="96" t="str">
        <f>'PROGRAMA LECTURA'!AI12</f>
        <v>F</v>
      </c>
    </row>
    <row r="43" spans="1:10" x14ac:dyDescent="0.25">
      <c r="A43" s="101" t="s">
        <v>60</v>
      </c>
      <c r="B43" s="96" t="s">
        <v>12</v>
      </c>
      <c r="C43" s="96">
        <v>7</v>
      </c>
      <c r="D43" s="96" t="s">
        <v>38</v>
      </c>
      <c r="E43" s="96" t="s">
        <v>74</v>
      </c>
      <c r="F43" s="96" t="s">
        <v>74</v>
      </c>
      <c r="G43" s="96" t="s">
        <v>74</v>
      </c>
      <c r="H43" s="96">
        <f t="shared" si="0"/>
        <v>3</v>
      </c>
      <c r="I43" s="97">
        <f t="shared" si="2"/>
        <v>1</v>
      </c>
      <c r="J43" s="96" t="str">
        <f>'PROGRAMA LECTURA'!AJ12</f>
        <v>C</v>
      </c>
    </row>
    <row r="44" spans="1:10" ht="60" x14ac:dyDescent="0.25">
      <c r="A44" s="101" t="s">
        <v>60</v>
      </c>
      <c r="B44" s="96" t="s">
        <v>12</v>
      </c>
      <c r="C44" s="96">
        <v>7</v>
      </c>
      <c r="D44" s="96" t="s">
        <v>87</v>
      </c>
      <c r="E44" s="96"/>
      <c r="F44" s="96"/>
      <c r="G44" s="97"/>
      <c r="H44" s="96">
        <f t="shared" si="0"/>
        <v>0</v>
      </c>
      <c r="I44" s="97">
        <f>H44/3</f>
        <v>0</v>
      </c>
      <c r="J44" s="96" t="str">
        <f>'PROGRAMA LECTURA'!AK12</f>
        <v>F</v>
      </c>
    </row>
    <row r="45" spans="1:10" x14ac:dyDescent="0.25">
      <c r="A45" s="102" t="s">
        <v>60</v>
      </c>
      <c r="B45" s="98" t="s">
        <v>12</v>
      </c>
      <c r="C45" s="98">
        <v>7</v>
      </c>
      <c r="D45" s="98" t="s">
        <v>51</v>
      </c>
      <c r="E45" s="96" t="s">
        <v>76</v>
      </c>
      <c r="F45" s="96" t="s">
        <v>76</v>
      </c>
      <c r="G45" s="97" t="s">
        <v>76</v>
      </c>
      <c r="H45" s="98">
        <f t="shared" si="0"/>
        <v>0</v>
      </c>
      <c r="I45" s="99">
        <f>H45/3</f>
        <v>0</v>
      </c>
      <c r="J45" s="100" t="str">
        <f>'PROGRAMA LECTURA'!AL12</f>
        <v>EP</v>
      </c>
    </row>
    <row r="46" spans="1:10" x14ac:dyDescent="0.25">
      <c r="A46" s="101" t="s">
        <v>60</v>
      </c>
      <c r="B46" s="96" t="s">
        <v>13</v>
      </c>
      <c r="C46" s="96">
        <v>8</v>
      </c>
      <c r="D46" s="96" t="s">
        <v>52</v>
      </c>
      <c r="E46" s="96"/>
      <c r="F46" s="96"/>
      <c r="G46" s="97"/>
      <c r="H46" s="96">
        <f t="shared" si="0"/>
        <v>0</v>
      </c>
      <c r="I46" s="97">
        <f t="shared" ref="I46:I65" si="3">H46/3</f>
        <v>0</v>
      </c>
      <c r="J46" s="96">
        <f>'PROGRAMA LECTURA'!AM12</f>
        <v>0</v>
      </c>
    </row>
    <row r="47" spans="1:10" x14ac:dyDescent="0.25">
      <c r="A47" s="101" t="s">
        <v>60</v>
      </c>
      <c r="B47" s="96" t="s">
        <v>13</v>
      </c>
      <c r="C47" s="96">
        <v>8</v>
      </c>
      <c r="D47" s="96" t="s">
        <v>53</v>
      </c>
      <c r="E47" s="96"/>
      <c r="F47" s="96"/>
      <c r="G47" s="97"/>
      <c r="H47" s="96">
        <f t="shared" si="0"/>
        <v>0</v>
      </c>
      <c r="I47" s="97">
        <f t="shared" si="3"/>
        <v>0</v>
      </c>
      <c r="J47" s="96">
        <f>'PROGRAMA LECTURA'!AN12</f>
        <v>0</v>
      </c>
    </row>
    <row r="48" spans="1:10" ht="30" x14ac:dyDescent="0.25">
      <c r="A48" s="101" t="s">
        <v>60</v>
      </c>
      <c r="B48" s="96" t="s">
        <v>13</v>
      </c>
      <c r="C48" s="96">
        <v>8</v>
      </c>
      <c r="D48" s="96" t="s">
        <v>54</v>
      </c>
      <c r="E48" s="96"/>
      <c r="F48" s="96"/>
      <c r="G48" s="97"/>
      <c r="H48" s="96">
        <f t="shared" si="0"/>
        <v>0</v>
      </c>
      <c r="I48" s="97">
        <f t="shared" si="3"/>
        <v>0</v>
      </c>
      <c r="J48" s="96">
        <f>'PROGRAMA LECTURA'!AO12</f>
        <v>0</v>
      </c>
    </row>
    <row r="49" spans="1:10" x14ac:dyDescent="0.25">
      <c r="A49" s="101" t="s">
        <v>60</v>
      </c>
      <c r="B49" s="96" t="s">
        <v>14</v>
      </c>
      <c r="C49" s="96">
        <v>9</v>
      </c>
      <c r="D49" s="96" t="s">
        <v>55</v>
      </c>
      <c r="E49" s="96"/>
      <c r="F49" s="96"/>
      <c r="G49" s="97"/>
      <c r="H49" s="96">
        <f t="shared" si="0"/>
        <v>0</v>
      </c>
      <c r="I49" s="97">
        <f t="shared" si="3"/>
        <v>0</v>
      </c>
      <c r="J49" s="96">
        <f>'PROGRAMA LECTURA'!AP12</f>
        <v>0</v>
      </c>
    </row>
    <row r="50" spans="1:10" x14ac:dyDescent="0.25">
      <c r="A50" s="101" t="s">
        <v>60</v>
      </c>
      <c r="B50" s="96" t="s">
        <v>14</v>
      </c>
      <c r="C50" s="96">
        <v>9</v>
      </c>
      <c r="D50" s="96" t="s">
        <v>56</v>
      </c>
      <c r="E50" s="96"/>
      <c r="F50" s="96"/>
      <c r="G50" s="97"/>
      <c r="H50" s="96">
        <f t="shared" si="0"/>
        <v>0</v>
      </c>
      <c r="I50" s="97">
        <f t="shared" si="3"/>
        <v>0</v>
      </c>
      <c r="J50" s="96">
        <f>'PROGRAMA LECTURA'!AQ12</f>
        <v>0</v>
      </c>
    </row>
    <row r="51" spans="1:10" x14ac:dyDescent="0.25">
      <c r="A51" s="101" t="s">
        <v>60</v>
      </c>
      <c r="B51" s="96" t="s">
        <v>15</v>
      </c>
      <c r="C51" s="96">
        <v>10</v>
      </c>
      <c r="D51" s="96" t="s">
        <v>20</v>
      </c>
      <c r="E51" s="96"/>
      <c r="F51" s="96"/>
      <c r="G51" s="97"/>
      <c r="H51" s="96">
        <f t="shared" si="0"/>
        <v>0</v>
      </c>
      <c r="I51" s="97">
        <f t="shared" si="3"/>
        <v>0</v>
      </c>
      <c r="J51" s="96">
        <f>'PROGRAMA LECTURA'!AR12</f>
        <v>0</v>
      </c>
    </row>
    <row r="52" spans="1:10" x14ac:dyDescent="0.25">
      <c r="A52" s="101" t="s">
        <v>60</v>
      </c>
      <c r="B52" s="96" t="s">
        <v>15</v>
      </c>
      <c r="C52" s="96">
        <v>10</v>
      </c>
      <c r="D52" s="96" t="s">
        <v>42</v>
      </c>
      <c r="E52" s="96"/>
      <c r="F52" s="96"/>
      <c r="G52" s="97"/>
      <c r="H52" s="96">
        <f t="shared" si="0"/>
        <v>0</v>
      </c>
      <c r="I52" s="97">
        <f t="shared" si="3"/>
        <v>0</v>
      </c>
      <c r="J52" s="96">
        <f>'PROGRAMA LECTURA'!AS12</f>
        <v>0</v>
      </c>
    </row>
    <row r="53" spans="1:10" ht="30" x14ac:dyDescent="0.25">
      <c r="A53" s="101" t="s">
        <v>60</v>
      </c>
      <c r="B53" s="96" t="s">
        <v>16</v>
      </c>
      <c r="C53" s="96">
        <v>11</v>
      </c>
      <c r="D53" s="96" t="s">
        <v>57</v>
      </c>
      <c r="E53" s="96"/>
      <c r="F53" s="96"/>
      <c r="G53" s="97"/>
      <c r="H53" s="96">
        <f t="shared" si="0"/>
        <v>0</v>
      </c>
      <c r="I53" s="97">
        <f t="shared" si="3"/>
        <v>0</v>
      </c>
      <c r="J53" s="96">
        <f>'PROGRAMA LECTURA'!AT12</f>
        <v>0</v>
      </c>
    </row>
    <row r="54" spans="1:10" x14ac:dyDescent="0.25">
      <c r="A54" s="101" t="s">
        <v>60</v>
      </c>
      <c r="B54" s="96" t="s">
        <v>16</v>
      </c>
      <c r="C54" s="96">
        <v>11</v>
      </c>
      <c r="D54" s="96" t="s">
        <v>39</v>
      </c>
      <c r="E54" s="96"/>
      <c r="F54" s="96"/>
      <c r="G54" s="97"/>
      <c r="H54" s="96">
        <f t="shared" si="0"/>
        <v>0</v>
      </c>
      <c r="I54" s="97">
        <f t="shared" si="3"/>
        <v>0</v>
      </c>
      <c r="J54" s="96">
        <f>'PROGRAMA LECTURA'!AU12</f>
        <v>0</v>
      </c>
    </row>
    <row r="55" spans="1:10" x14ac:dyDescent="0.25">
      <c r="A55" s="101" t="s">
        <v>60</v>
      </c>
      <c r="B55" s="96" t="s">
        <v>17</v>
      </c>
      <c r="C55" s="96">
        <v>12</v>
      </c>
      <c r="D55" s="96" t="s">
        <v>38</v>
      </c>
      <c r="E55" s="96"/>
      <c r="F55" s="96"/>
      <c r="G55" s="97"/>
      <c r="H55" s="96">
        <f t="shared" si="0"/>
        <v>0</v>
      </c>
      <c r="I55" s="97">
        <f t="shared" si="3"/>
        <v>0</v>
      </c>
      <c r="J55" s="96">
        <f>'PROGRAMA LECTURA'!AV12</f>
        <v>0</v>
      </c>
    </row>
    <row r="56" spans="1:10" x14ac:dyDescent="0.25">
      <c r="A56" s="96" t="s">
        <v>61</v>
      </c>
      <c r="B56" s="96" t="s">
        <v>6</v>
      </c>
      <c r="C56" s="96">
        <v>1</v>
      </c>
      <c r="D56" s="96" t="s">
        <v>38</v>
      </c>
      <c r="E56" s="96" t="s">
        <v>74</v>
      </c>
      <c r="F56" s="96" t="s">
        <v>74</v>
      </c>
      <c r="G56" s="97" t="s">
        <v>74</v>
      </c>
      <c r="H56" s="96">
        <f t="shared" si="0"/>
        <v>3</v>
      </c>
      <c r="I56" s="97">
        <f t="shared" si="3"/>
        <v>1</v>
      </c>
      <c r="J56" s="96" t="str">
        <f>'PROGRAMA LECTURA'!V13</f>
        <v>C</v>
      </c>
    </row>
    <row r="57" spans="1:10" x14ac:dyDescent="0.25">
      <c r="A57" s="96" t="s">
        <v>61</v>
      </c>
      <c r="B57" s="96" t="s">
        <v>6</v>
      </c>
      <c r="C57" s="96">
        <v>1</v>
      </c>
      <c r="D57" s="96" t="s">
        <v>39</v>
      </c>
      <c r="E57" s="96" t="s">
        <v>74</v>
      </c>
      <c r="F57" s="96" t="s">
        <v>74</v>
      </c>
      <c r="G57" s="97" t="s">
        <v>74</v>
      </c>
      <c r="H57" s="96">
        <f t="shared" si="0"/>
        <v>3</v>
      </c>
      <c r="I57" s="97">
        <f t="shared" si="3"/>
        <v>1</v>
      </c>
      <c r="J57" s="96" t="str">
        <f>'PROGRAMA LECTURA'!W13</f>
        <v>C</v>
      </c>
    </row>
    <row r="58" spans="1:10" ht="45" x14ac:dyDescent="0.25">
      <c r="A58" s="96" t="s">
        <v>61</v>
      </c>
      <c r="B58" s="96" t="s">
        <v>7</v>
      </c>
      <c r="C58" s="96">
        <v>2</v>
      </c>
      <c r="D58" s="96" t="s">
        <v>40</v>
      </c>
      <c r="E58" s="96" t="s">
        <v>74</v>
      </c>
      <c r="F58" s="96" t="s">
        <v>74</v>
      </c>
      <c r="G58" s="97" t="s">
        <v>74</v>
      </c>
      <c r="H58" s="96">
        <f t="shared" si="0"/>
        <v>3</v>
      </c>
      <c r="I58" s="97">
        <f t="shared" si="3"/>
        <v>1</v>
      </c>
      <c r="J58" s="96" t="str">
        <f>'PROGRAMA LECTURA'!X13</f>
        <v>C</v>
      </c>
    </row>
    <row r="59" spans="1:10" x14ac:dyDescent="0.25">
      <c r="A59" s="96" t="s">
        <v>61</v>
      </c>
      <c r="B59" s="96" t="s">
        <v>7</v>
      </c>
      <c r="C59" s="96">
        <v>2</v>
      </c>
      <c r="D59" s="96" t="s">
        <v>20</v>
      </c>
      <c r="E59" s="96" t="s">
        <v>74</v>
      </c>
      <c r="F59" s="96" t="s">
        <v>74</v>
      </c>
      <c r="G59" s="97" t="s">
        <v>74</v>
      </c>
      <c r="H59" s="96">
        <f t="shared" si="0"/>
        <v>3</v>
      </c>
      <c r="I59" s="97">
        <f t="shared" si="3"/>
        <v>1</v>
      </c>
      <c r="J59" s="96" t="str">
        <f>'PROGRAMA LECTURA'!Y13</f>
        <v>C</v>
      </c>
    </row>
    <row r="60" spans="1:10" x14ac:dyDescent="0.25">
      <c r="A60" s="96" t="s">
        <v>61</v>
      </c>
      <c r="B60" s="96" t="s">
        <v>8</v>
      </c>
      <c r="C60" s="96">
        <v>3</v>
      </c>
      <c r="D60" s="96" t="s">
        <v>41</v>
      </c>
      <c r="E60" s="96" t="s">
        <v>74</v>
      </c>
      <c r="F60" s="96" t="s">
        <v>74</v>
      </c>
      <c r="G60" s="97" t="s">
        <v>74</v>
      </c>
      <c r="H60" s="96">
        <f t="shared" si="0"/>
        <v>3</v>
      </c>
      <c r="I60" s="97">
        <f t="shared" si="3"/>
        <v>1</v>
      </c>
      <c r="J60" s="96" t="str">
        <f>'PROGRAMA LECTURA'!Z13</f>
        <v>C</v>
      </c>
    </row>
    <row r="61" spans="1:10" x14ac:dyDescent="0.25">
      <c r="A61" s="96" t="s">
        <v>61</v>
      </c>
      <c r="B61" s="96" t="s">
        <v>8</v>
      </c>
      <c r="C61" s="96">
        <v>3</v>
      </c>
      <c r="D61" s="96" t="s">
        <v>42</v>
      </c>
      <c r="E61" s="96" t="s">
        <v>74</v>
      </c>
      <c r="F61" s="96" t="s">
        <v>74</v>
      </c>
      <c r="G61" s="97" t="s">
        <v>74</v>
      </c>
      <c r="H61" s="96">
        <f t="shared" si="0"/>
        <v>3</v>
      </c>
      <c r="I61" s="97">
        <f t="shared" si="3"/>
        <v>1</v>
      </c>
      <c r="J61" s="96" t="str">
        <f>'PROGRAMA LECTURA'!AA13</f>
        <v>C</v>
      </c>
    </row>
    <row r="62" spans="1:10" ht="60" x14ac:dyDescent="0.25">
      <c r="A62" s="96" t="s">
        <v>61</v>
      </c>
      <c r="B62" s="96" t="s">
        <v>9</v>
      </c>
      <c r="C62" s="96">
        <v>4</v>
      </c>
      <c r="D62" s="96" t="s">
        <v>43</v>
      </c>
      <c r="E62" s="96" t="s">
        <v>74</v>
      </c>
      <c r="F62" s="96" t="s">
        <v>74</v>
      </c>
      <c r="G62" s="97" t="s">
        <v>74</v>
      </c>
      <c r="H62" s="96">
        <f t="shared" si="0"/>
        <v>3</v>
      </c>
      <c r="I62" s="97">
        <f t="shared" si="3"/>
        <v>1</v>
      </c>
      <c r="J62" s="96" t="str">
        <f>'PROGRAMA LECTURA'!AB13</f>
        <v>C</v>
      </c>
    </row>
    <row r="63" spans="1:10" x14ac:dyDescent="0.25">
      <c r="A63" s="96" t="s">
        <v>61</v>
      </c>
      <c r="B63" s="96" t="s">
        <v>9</v>
      </c>
      <c r="C63" s="96">
        <v>4</v>
      </c>
      <c r="D63" s="96" t="s">
        <v>44</v>
      </c>
      <c r="E63" s="96" t="s">
        <v>74</v>
      </c>
      <c r="F63" s="96" t="s">
        <v>74</v>
      </c>
      <c r="G63" s="97" t="s">
        <v>74</v>
      </c>
      <c r="H63" s="96">
        <f t="shared" si="0"/>
        <v>3</v>
      </c>
      <c r="I63" s="97">
        <f t="shared" si="3"/>
        <v>1</v>
      </c>
      <c r="J63" s="96" t="str">
        <f>'PROGRAMA LECTURA'!AC13</f>
        <v>C</v>
      </c>
    </row>
    <row r="64" spans="1:10" ht="30" x14ac:dyDescent="0.25">
      <c r="A64" s="96" t="s">
        <v>61</v>
      </c>
      <c r="B64" s="96" t="s">
        <v>9</v>
      </c>
      <c r="C64" s="96">
        <v>4</v>
      </c>
      <c r="D64" s="96" t="s">
        <v>45</v>
      </c>
      <c r="E64" s="96" t="s">
        <v>74</v>
      </c>
      <c r="F64" s="96" t="s">
        <v>74</v>
      </c>
      <c r="G64" s="97" t="s">
        <v>74</v>
      </c>
      <c r="H64" s="96">
        <f t="shared" si="0"/>
        <v>3</v>
      </c>
      <c r="I64" s="97">
        <f t="shared" si="3"/>
        <v>1</v>
      </c>
      <c r="J64" s="96" t="str">
        <f>'PROGRAMA LECTURA'!AD13</f>
        <v>C</v>
      </c>
    </row>
    <row r="65" spans="1:10" x14ac:dyDescent="0.25">
      <c r="A65" s="96" t="s">
        <v>61</v>
      </c>
      <c r="B65" s="96" t="s">
        <v>10</v>
      </c>
      <c r="C65" s="96">
        <v>5</v>
      </c>
      <c r="D65" s="96" t="s">
        <v>46</v>
      </c>
      <c r="E65" s="96" t="s">
        <v>74</v>
      </c>
      <c r="F65" s="96" t="s">
        <v>74</v>
      </c>
      <c r="G65" s="97" t="s">
        <v>74</v>
      </c>
      <c r="H65" s="96">
        <f t="shared" si="0"/>
        <v>3</v>
      </c>
      <c r="I65" s="97">
        <f t="shared" si="3"/>
        <v>1</v>
      </c>
      <c r="J65" s="96" t="str">
        <f>'PROGRAMA LECTURA'!AE13</f>
        <v>C</v>
      </c>
    </row>
    <row r="66" spans="1:10" ht="30" x14ac:dyDescent="0.25">
      <c r="A66" s="96" t="s">
        <v>61</v>
      </c>
      <c r="B66" s="96" t="s">
        <v>10</v>
      </c>
      <c r="C66" s="96">
        <v>5</v>
      </c>
      <c r="D66" s="96" t="s">
        <v>47</v>
      </c>
      <c r="E66" s="96" t="s">
        <v>74</v>
      </c>
      <c r="F66" s="96" t="s">
        <v>74</v>
      </c>
      <c r="G66" s="97" t="s">
        <v>74</v>
      </c>
      <c r="H66" s="96">
        <f t="shared" ref="H66:H129" si="4">COUNTIF(E66:G66,"C")</f>
        <v>3</v>
      </c>
      <c r="I66" s="97">
        <f>H66/3</f>
        <v>1</v>
      </c>
      <c r="J66" s="96" t="str">
        <f>'PROGRAMA LECTURA'!AF13</f>
        <v>C</v>
      </c>
    </row>
    <row r="67" spans="1:10" x14ac:dyDescent="0.25">
      <c r="A67" s="98" t="s">
        <v>61</v>
      </c>
      <c r="B67" s="98" t="s">
        <v>11</v>
      </c>
      <c r="C67" s="98">
        <v>6</v>
      </c>
      <c r="D67" s="98" t="s">
        <v>20</v>
      </c>
      <c r="E67" s="96" t="s">
        <v>74</v>
      </c>
      <c r="F67" s="96" t="s">
        <v>74</v>
      </c>
      <c r="G67" s="97" t="s">
        <v>74</v>
      </c>
      <c r="H67" s="98">
        <f t="shared" si="4"/>
        <v>3</v>
      </c>
      <c r="I67" s="99">
        <f>H67/3</f>
        <v>1</v>
      </c>
      <c r="J67" s="100" t="str">
        <f>'PROGRAMA LECTURA'!AG13</f>
        <v>C</v>
      </c>
    </row>
    <row r="68" spans="1:10" ht="45" x14ac:dyDescent="0.25">
      <c r="A68" s="96" t="s">
        <v>61</v>
      </c>
      <c r="B68" s="96" t="s">
        <v>11</v>
      </c>
      <c r="C68" s="96">
        <v>6</v>
      </c>
      <c r="D68" s="96" t="s">
        <v>48</v>
      </c>
      <c r="E68" s="96" t="s">
        <v>74</v>
      </c>
      <c r="F68" s="96" t="s">
        <v>74</v>
      </c>
      <c r="G68" s="97" t="s">
        <v>74</v>
      </c>
      <c r="H68" s="96">
        <f t="shared" si="4"/>
        <v>3</v>
      </c>
      <c r="I68" s="97">
        <f t="shared" ref="I68:I87" si="5">H68/3</f>
        <v>1</v>
      </c>
      <c r="J68" s="96" t="str">
        <f>'PROGRAMA LECTURA'!AH13</f>
        <v>C</v>
      </c>
    </row>
    <row r="69" spans="1:10" x14ac:dyDescent="0.25">
      <c r="A69" s="96" t="s">
        <v>61</v>
      </c>
      <c r="B69" s="96" t="s">
        <v>11</v>
      </c>
      <c r="C69" s="96">
        <v>6</v>
      </c>
      <c r="D69" s="96" t="s">
        <v>49</v>
      </c>
      <c r="E69" s="96" t="s">
        <v>75</v>
      </c>
      <c r="F69" s="96" t="s">
        <v>75</v>
      </c>
      <c r="G69" s="97" t="s">
        <v>75</v>
      </c>
      <c r="H69" s="96">
        <f t="shared" si="4"/>
        <v>0</v>
      </c>
      <c r="I69" s="97">
        <f t="shared" si="5"/>
        <v>0</v>
      </c>
      <c r="J69" s="96" t="str">
        <f>'PROGRAMA LECTURA'!AI13</f>
        <v>F</v>
      </c>
    </row>
    <row r="70" spans="1:10" x14ac:dyDescent="0.25">
      <c r="A70" s="96" t="s">
        <v>61</v>
      </c>
      <c r="B70" s="96" t="s">
        <v>12</v>
      </c>
      <c r="C70" s="96">
        <v>7</v>
      </c>
      <c r="D70" s="96" t="s">
        <v>38</v>
      </c>
      <c r="E70" s="96" t="s">
        <v>74</v>
      </c>
      <c r="F70" s="96" t="s">
        <v>74</v>
      </c>
      <c r="G70" s="96" t="s">
        <v>74</v>
      </c>
      <c r="H70" s="96">
        <f t="shared" si="4"/>
        <v>3</v>
      </c>
      <c r="I70" s="97">
        <f t="shared" si="5"/>
        <v>1</v>
      </c>
      <c r="J70" s="96" t="str">
        <f>'PROGRAMA LECTURA'!AJ13</f>
        <v>C</v>
      </c>
    </row>
    <row r="71" spans="1:10" ht="60" x14ac:dyDescent="0.25">
      <c r="A71" s="96" t="s">
        <v>61</v>
      </c>
      <c r="B71" s="96" t="s">
        <v>12</v>
      </c>
      <c r="C71" s="96">
        <v>7</v>
      </c>
      <c r="D71" s="96" t="s">
        <v>87</v>
      </c>
      <c r="E71" s="96"/>
      <c r="F71" s="96"/>
      <c r="G71" s="97"/>
      <c r="H71" s="96">
        <f t="shared" si="4"/>
        <v>0</v>
      </c>
      <c r="I71" s="97">
        <f t="shared" si="5"/>
        <v>0</v>
      </c>
      <c r="J71" s="96" t="str">
        <f>'PROGRAMA LECTURA'!AK13</f>
        <v>F</v>
      </c>
    </row>
    <row r="72" spans="1:10" x14ac:dyDescent="0.25">
      <c r="A72" s="96" t="s">
        <v>61</v>
      </c>
      <c r="B72" s="96" t="s">
        <v>12</v>
      </c>
      <c r="C72" s="96">
        <v>7</v>
      </c>
      <c r="D72" s="96" t="s">
        <v>51</v>
      </c>
      <c r="E72" s="96" t="s">
        <v>76</v>
      </c>
      <c r="F72" s="96" t="s">
        <v>76</v>
      </c>
      <c r="G72" s="97" t="s">
        <v>76</v>
      </c>
      <c r="H72" s="96">
        <f t="shared" si="4"/>
        <v>0</v>
      </c>
      <c r="I72" s="97">
        <f t="shared" si="5"/>
        <v>0</v>
      </c>
      <c r="J72" s="96" t="str">
        <f>'PROGRAMA LECTURA'!AL13</f>
        <v>EP</v>
      </c>
    </row>
    <row r="73" spans="1:10" x14ac:dyDescent="0.25">
      <c r="A73" s="96" t="s">
        <v>61</v>
      </c>
      <c r="B73" s="96" t="s">
        <v>13</v>
      </c>
      <c r="C73" s="96">
        <v>8</v>
      </c>
      <c r="D73" s="96" t="s">
        <v>52</v>
      </c>
      <c r="E73" s="96"/>
      <c r="F73" s="96"/>
      <c r="G73" s="97"/>
      <c r="H73" s="96">
        <f t="shared" si="4"/>
        <v>0</v>
      </c>
      <c r="I73" s="97">
        <f t="shared" si="5"/>
        <v>0</v>
      </c>
      <c r="J73" s="96">
        <f>'PROGRAMA LECTURA'!AM13</f>
        <v>0</v>
      </c>
    </row>
    <row r="74" spans="1:10" x14ac:dyDescent="0.25">
      <c r="A74" s="96" t="s">
        <v>61</v>
      </c>
      <c r="B74" s="96" t="s">
        <v>13</v>
      </c>
      <c r="C74" s="96">
        <v>8</v>
      </c>
      <c r="D74" s="96" t="s">
        <v>53</v>
      </c>
      <c r="E74" s="96"/>
      <c r="F74" s="96"/>
      <c r="G74" s="97"/>
      <c r="H74" s="96">
        <f t="shared" si="4"/>
        <v>0</v>
      </c>
      <c r="I74" s="97">
        <f t="shared" si="5"/>
        <v>0</v>
      </c>
      <c r="J74" s="96">
        <f>'PROGRAMA LECTURA'!AN13</f>
        <v>0</v>
      </c>
    </row>
    <row r="75" spans="1:10" ht="30" x14ac:dyDescent="0.25">
      <c r="A75" s="96" t="s">
        <v>61</v>
      </c>
      <c r="B75" s="96" t="s">
        <v>13</v>
      </c>
      <c r="C75" s="96">
        <v>8</v>
      </c>
      <c r="D75" s="96" t="s">
        <v>54</v>
      </c>
      <c r="E75" s="96"/>
      <c r="F75" s="96"/>
      <c r="G75" s="97"/>
      <c r="H75" s="96">
        <f t="shared" si="4"/>
        <v>0</v>
      </c>
      <c r="I75" s="97">
        <f t="shared" si="5"/>
        <v>0</v>
      </c>
      <c r="J75" s="96">
        <f>'PROGRAMA LECTURA'!AO13</f>
        <v>0</v>
      </c>
    </row>
    <row r="76" spans="1:10" x14ac:dyDescent="0.25">
      <c r="A76" s="96" t="s">
        <v>61</v>
      </c>
      <c r="B76" s="96" t="s">
        <v>14</v>
      </c>
      <c r="C76" s="96">
        <v>9</v>
      </c>
      <c r="D76" s="96" t="s">
        <v>55</v>
      </c>
      <c r="E76" s="96"/>
      <c r="F76" s="96"/>
      <c r="G76" s="97"/>
      <c r="H76" s="96">
        <f t="shared" si="4"/>
        <v>0</v>
      </c>
      <c r="I76" s="97">
        <f t="shared" si="5"/>
        <v>0</v>
      </c>
      <c r="J76" s="96">
        <f>'PROGRAMA LECTURA'!AP13</f>
        <v>0</v>
      </c>
    </row>
    <row r="77" spans="1:10" x14ac:dyDescent="0.25">
      <c r="A77" s="96" t="s">
        <v>61</v>
      </c>
      <c r="B77" s="96" t="s">
        <v>14</v>
      </c>
      <c r="C77" s="96">
        <v>9</v>
      </c>
      <c r="D77" s="96" t="s">
        <v>56</v>
      </c>
      <c r="E77" s="96"/>
      <c r="F77" s="96"/>
      <c r="G77" s="97"/>
      <c r="H77" s="96">
        <f t="shared" si="4"/>
        <v>0</v>
      </c>
      <c r="I77" s="97">
        <f t="shared" si="5"/>
        <v>0</v>
      </c>
      <c r="J77" s="96">
        <f>'PROGRAMA LECTURA'!AQ13</f>
        <v>0</v>
      </c>
    </row>
    <row r="78" spans="1:10" x14ac:dyDescent="0.25">
      <c r="A78" s="96" t="s">
        <v>61</v>
      </c>
      <c r="B78" s="96" t="s">
        <v>15</v>
      </c>
      <c r="C78" s="96">
        <v>10</v>
      </c>
      <c r="D78" s="96" t="s">
        <v>20</v>
      </c>
      <c r="E78" s="96"/>
      <c r="F78" s="96"/>
      <c r="G78" s="97"/>
      <c r="H78" s="96">
        <f t="shared" si="4"/>
        <v>0</v>
      </c>
      <c r="I78" s="97">
        <f t="shared" si="5"/>
        <v>0</v>
      </c>
      <c r="J78" s="96">
        <f>'PROGRAMA LECTURA'!AR13</f>
        <v>0</v>
      </c>
    </row>
    <row r="79" spans="1:10" x14ac:dyDescent="0.25">
      <c r="A79" s="96" t="s">
        <v>61</v>
      </c>
      <c r="B79" s="96" t="s">
        <v>15</v>
      </c>
      <c r="C79" s="96">
        <v>10</v>
      </c>
      <c r="D79" s="96" t="s">
        <v>42</v>
      </c>
      <c r="E79" s="96"/>
      <c r="F79" s="96"/>
      <c r="G79" s="97"/>
      <c r="H79" s="96">
        <f t="shared" si="4"/>
        <v>0</v>
      </c>
      <c r="I79" s="97">
        <f t="shared" si="5"/>
        <v>0</v>
      </c>
      <c r="J79" s="96">
        <f>'PROGRAMA LECTURA'!AS13</f>
        <v>0</v>
      </c>
    </row>
    <row r="80" spans="1:10" ht="30" x14ac:dyDescent="0.25">
      <c r="A80" s="96" t="s">
        <v>61</v>
      </c>
      <c r="B80" s="96" t="s">
        <v>16</v>
      </c>
      <c r="C80" s="96">
        <v>11</v>
      </c>
      <c r="D80" s="96" t="s">
        <v>57</v>
      </c>
      <c r="E80" s="96"/>
      <c r="F80" s="96"/>
      <c r="G80" s="97"/>
      <c r="H80" s="96">
        <f t="shared" si="4"/>
        <v>0</v>
      </c>
      <c r="I80" s="97">
        <f t="shared" si="5"/>
        <v>0</v>
      </c>
      <c r="J80" s="96">
        <f>'PROGRAMA LECTURA'!AT13</f>
        <v>0</v>
      </c>
    </row>
    <row r="81" spans="1:10" x14ac:dyDescent="0.25">
      <c r="A81" s="96" t="s">
        <v>61</v>
      </c>
      <c r="B81" s="96" t="s">
        <v>16</v>
      </c>
      <c r="C81" s="96">
        <v>11</v>
      </c>
      <c r="D81" s="96" t="s">
        <v>39</v>
      </c>
      <c r="E81" s="96"/>
      <c r="F81" s="96"/>
      <c r="G81" s="97"/>
      <c r="H81" s="96">
        <f t="shared" si="4"/>
        <v>0</v>
      </c>
      <c r="I81" s="97">
        <f t="shared" si="5"/>
        <v>0</v>
      </c>
      <c r="J81" s="96">
        <f>'PROGRAMA LECTURA'!AU13</f>
        <v>0</v>
      </c>
    </row>
    <row r="82" spans="1:10" x14ac:dyDescent="0.25">
      <c r="A82" s="96" t="s">
        <v>61</v>
      </c>
      <c r="B82" s="96" t="s">
        <v>17</v>
      </c>
      <c r="C82" s="96">
        <v>12</v>
      </c>
      <c r="D82" s="96" t="s">
        <v>38</v>
      </c>
      <c r="E82" s="96"/>
      <c r="F82" s="96"/>
      <c r="G82" s="97"/>
      <c r="H82" s="96">
        <f t="shared" si="4"/>
        <v>0</v>
      </c>
      <c r="I82" s="97">
        <f t="shared" si="5"/>
        <v>0</v>
      </c>
      <c r="J82" s="96">
        <f>'PROGRAMA LECTURA'!AV13</f>
        <v>0</v>
      </c>
    </row>
    <row r="83" spans="1:10" x14ac:dyDescent="0.25">
      <c r="A83" s="103" t="s">
        <v>88</v>
      </c>
      <c r="B83" s="96" t="s">
        <v>6</v>
      </c>
      <c r="C83" s="96">
        <v>1</v>
      </c>
      <c r="D83" s="96" t="s">
        <v>38</v>
      </c>
      <c r="E83" s="96" t="s">
        <v>74</v>
      </c>
      <c r="F83" s="96" t="s">
        <v>74</v>
      </c>
      <c r="G83" s="97" t="s">
        <v>74</v>
      </c>
      <c r="H83" s="96">
        <f t="shared" si="4"/>
        <v>3</v>
      </c>
      <c r="I83" s="97">
        <f t="shared" si="5"/>
        <v>1</v>
      </c>
      <c r="J83" s="96" t="str">
        <f>'PROGRAMA LECTURA'!V14</f>
        <v>C</v>
      </c>
    </row>
    <row r="84" spans="1:10" x14ac:dyDescent="0.25">
      <c r="A84" s="103" t="s">
        <v>88</v>
      </c>
      <c r="B84" s="96" t="s">
        <v>6</v>
      </c>
      <c r="C84" s="96">
        <v>1</v>
      </c>
      <c r="D84" s="96" t="s">
        <v>39</v>
      </c>
      <c r="E84" s="96" t="s">
        <v>74</v>
      </c>
      <c r="F84" s="96" t="s">
        <v>74</v>
      </c>
      <c r="G84" s="97" t="s">
        <v>74</v>
      </c>
      <c r="H84" s="96">
        <f t="shared" si="4"/>
        <v>3</v>
      </c>
      <c r="I84" s="97">
        <f t="shared" si="5"/>
        <v>1</v>
      </c>
      <c r="J84" s="96" t="str">
        <f>'PROGRAMA LECTURA'!W14</f>
        <v>C</v>
      </c>
    </row>
    <row r="85" spans="1:10" ht="45" x14ac:dyDescent="0.25">
      <c r="A85" s="103" t="s">
        <v>88</v>
      </c>
      <c r="B85" s="96" t="s">
        <v>7</v>
      </c>
      <c r="C85" s="96">
        <v>2</v>
      </c>
      <c r="D85" s="96" t="s">
        <v>40</v>
      </c>
      <c r="E85" s="96" t="s">
        <v>74</v>
      </c>
      <c r="F85" s="96" t="s">
        <v>74</v>
      </c>
      <c r="G85" s="97" t="s">
        <v>74</v>
      </c>
      <c r="H85" s="96">
        <f t="shared" si="4"/>
        <v>3</v>
      </c>
      <c r="I85" s="97">
        <f t="shared" si="5"/>
        <v>1</v>
      </c>
      <c r="J85" s="96" t="str">
        <f>'PROGRAMA LECTURA'!X14</f>
        <v>C</v>
      </c>
    </row>
    <row r="86" spans="1:10" x14ac:dyDescent="0.25">
      <c r="A86" s="103" t="s">
        <v>88</v>
      </c>
      <c r="B86" s="96" t="s">
        <v>7</v>
      </c>
      <c r="C86" s="96">
        <v>2</v>
      </c>
      <c r="D86" s="96" t="s">
        <v>20</v>
      </c>
      <c r="E86" s="96" t="s">
        <v>74</v>
      </c>
      <c r="F86" s="96" t="s">
        <v>74</v>
      </c>
      <c r="G86" s="97" t="s">
        <v>74</v>
      </c>
      <c r="H86" s="96">
        <f t="shared" si="4"/>
        <v>3</v>
      </c>
      <c r="I86" s="97">
        <f t="shared" si="5"/>
        <v>1</v>
      </c>
      <c r="J86" s="96" t="str">
        <f>'PROGRAMA LECTURA'!Y14</f>
        <v>C</v>
      </c>
    </row>
    <row r="87" spans="1:10" x14ac:dyDescent="0.25">
      <c r="A87" s="103" t="s">
        <v>88</v>
      </c>
      <c r="B87" s="96" t="s">
        <v>8</v>
      </c>
      <c r="C87" s="96">
        <v>3</v>
      </c>
      <c r="D87" s="96" t="s">
        <v>41</v>
      </c>
      <c r="E87" s="96" t="s">
        <v>74</v>
      </c>
      <c r="F87" s="96" t="s">
        <v>74</v>
      </c>
      <c r="G87" s="97" t="s">
        <v>74</v>
      </c>
      <c r="H87" s="96">
        <f t="shared" si="4"/>
        <v>3</v>
      </c>
      <c r="I87" s="97">
        <f t="shared" si="5"/>
        <v>1</v>
      </c>
      <c r="J87" s="96" t="str">
        <f>'PROGRAMA LECTURA'!Z14</f>
        <v>C</v>
      </c>
    </row>
    <row r="88" spans="1:10" x14ac:dyDescent="0.25">
      <c r="A88" s="103" t="s">
        <v>88</v>
      </c>
      <c r="B88" s="96" t="s">
        <v>8</v>
      </c>
      <c r="C88" s="96">
        <v>3</v>
      </c>
      <c r="D88" s="96" t="s">
        <v>42</v>
      </c>
      <c r="E88" s="96" t="s">
        <v>74</v>
      </c>
      <c r="F88" s="96" t="s">
        <v>74</v>
      </c>
      <c r="G88" s="97" t="s">
        <v>74</v>
      </c>
      <c r="H88" s="96">
        <f t="shared" si="4"/>
        <v>3</v>
      </c>
      <c r="I88" s="97">
        <f>H88/3</f>
        <v>1</v>
      </c>
      <c r="J88" s="96" t="str">
        <f>'PROGRAMA LECTURA'!AA14</f>
        <v>C</v>
      </c>
    </row>
    <row r="89" spans="1:10" ht="60" x14ac:dyDescent="0.25">
      <c r="A89" s="102" t="s">
        <v>88</v>
      </c>
      <c r="B89" s="98" t="s">
        <v>9</v>
      </c>
      <c r="C89" s="98">
        <v>4</v>
      </c>
      <c r="D89" s="98" t="s">
        <v>43</v>
      </c>
      <c r="E89" s="96" t="s">
        <v>74</v>
      </c>
      <c r="F89" s="96" t="s">
        <v>74</v>
      </c>
      <c r="G89" s="97" t="s">
        <v>74</v>
      </c>
      <c r="H89" s="98">
        <f t="shared" si="4"/>
        <v>3</v>
      </c>
      <c r="I89" s="99">
        <f>H89/3</f>
        <v>1</v>
      </c>
      <c r="J89" s="100" t="str">
        <f>'PROGRAMA LECTURA'!AB14</f>
        <v>C</v>
      </c>
    </row>
    <row r="90" spans="1:10" x14ac:dyDescent="0.25">
      <c r="A90" s="103" t="s">
        <v>88</v>
      </c>
      <c r="B90" s="96" t="s">
        <v>9</v>
      </c>
      <c r="C90" s="96">
        <v>4</v>
      </c>
      <c r="D90" s="96" t="s">
        <v>44</v>
      </c>
      <c r="E90" s="96" t="s">
        <v>74</v>
      </c>
      <c r="F90" s="96" t="s">
        <v>74</v>
      </c>
      <c r="G90" s="97" t="s">
        <v>74</v>
      </c>
      <c r="H90" s="96">
        <f t="shared" si="4"/>
        <v>3</v>
      </c>
      <c r="I90" s="97">
        <f t="shared" ref="I90:I109" si="6">H90/3</f>
        <v>1</v>
      </c>
      <c r="J90" s="96" t="str">
        <f>'PROGRAMA LECTURA'!AC14</f>
        <v>C</v>
      </c>
    </row>
    <row r="91" spans="1:10" ht="30" x14ac:dyDescent="0.25">
      <c r="A91" s="103" t="s">
        <v>88</v>
      </c>
      <c r="B91" s="96" t="s">
        <v>9</v>
      </c>
      <c r="C91" s="96">
        <v>4</v>
      </c>
      <c r="D91" s="96" t="s">
        <v>45</v>
      </c>
      <c r="E91" s="96" t="s">
        <v>74</v>
      </c>
      <c r="F91" s="96" t="s">
        <v>74</v>
      </c>
      <c r="G91" s="97" t="s">
        <v>74</v>
      </c>
      <c r="H91" s="96">
        <f t="shared" si="4"/>
        <v>3</v>
      </c>
      <c r="I91" s="97">
        <f t="shared" si="6"/>
        <v>1</v>
      </c>
      <c r="J91" s="96" t="str">
        <f>'PROGRAMA LECTURA'!AD14</f>
        <v>C</v>
      </c>
    </row>
    <row r="92" spans="1:10" x14ac:dyDescent="0.25">
      <c r="A92" s="103" t="s">
        <v>88</v>
      </c>
      <c r="B92" s="96" t="s">
        <v>10</v>
      </c>
      <c r="C92" s="96">
        <v>5</v>
      </c>
      <c r="D92" s="96" t="s">
        <v>46</v>
      </c>
      <c r="E92" s="96" t="s">
        <v>74</v>
      </c>
      <c r="F92" s="96" t="s">
        <v>74</v>
      </c>
      <c r="G92" s="97" t="s">
        <v>74</v>
      </c>
      <c r="H92" s="96">
        <f t="shared" si="4"/>
        <v>3</v>
      </c>
      <c r="I92" s="97">
        <f t="shared" si="6"/>
        <v>1</v>
      </c>
      <c r="J92" s="96" t="str">
        <f>'PROGRAMA LECTURA'!AE14</f>
        <v>C</v>
      </c>
    </row>
    <row r="93" spans="1:10" ht="30" x14ac:dyDescent="0.25">
      <c r="A93" s="103" t="s">
        <v>88</v>
      </c>
      <c r="B93" s="96" t="s">
        <v>10</v>
      </c>
      <c r="C93" s="96">
        <v>5</v>
      </c>
      <c r="D93" s="96" t="s">
        <v>47</v>
      </c>
      <c r="E93" s="96" t="s">
        <v>74</v>
      </c>
      <c r="F93" s="96" t="s">
        <v>74</v>
      </c>
      <c r="G93" s="97" t="s">
        <v>74</v>
      </c>
      <c r="H93" s="96">
        <f t="shared" si="4"/>
        <v>3</v>
      </c>
      <c r="I93" s="97">
        <f t="shared" si="6"/>
        <v>1</v>
      </c>
      <c r="J93" s="96" t="str">
        <f>'PROGRAMA LECTURA'!AF14</f>
        <v>C</v>
      </c>
    </row>
    <row r="94" spans="1:10" x14ac:dyDescent="0.25">
      <c r="A94" s="103" t="s">
        <v>88</v>
      </c>
      <c r="B94" s="96" t="s">
        <v>11</v>
      </c>
      <c r="C94" s="96">
        <v>6</v>
      </c>
      <c r="D94" s="96" t="s">
        <v>20</v>
      </c>
      <c r="E94" s="96" t="s">
        <v>74</v>
      </c>
      <c r="F94" s="96" t="s">
        <v>74</v>
      </c>
      <c r="G94" s="97" t="s">
        <v>74</v>
      </c>
      <c r="H94" s="96">
        <f t="shared" si="4"/>
        <v>3</v>
      </c>
      <c r="I94" s="97">
        <f t="shared" si="6"/>
        <v>1</v>
      </c>
      <c r="J94" s="96" t="str">
        <f>'PROGRAMA LECTURA'!AG14</f>
        <v>C</v>
      </c>
    </row>
    <row r="95" spans="1:10" ht="45" x14ac:dyDescent="0.25">
      <c r="A95" s="103" t="s">
        <v>88</v>
      </c>
      <c r="B95" s="96" t="s">
        <v>11</v>
      </c>
      <c r="C95" s="96">
        <v>6</v>
      </c>
      <c r="D95" s="96" t="s">
        <v>48</v>
      </c>
      <c r="E95" s="96" t="s">
        <v>74</v>
      </c>
      <c r="F95" s="96" t="s">
        <v>74</v>
      </c>
      <c r="G95" s="97" t="s">
        <v>74</v>
      </c>
      <c r="H95" s="96">
        <f t="shared" si="4"/>
        <v>3</v>
      </c>
      <c r="I95" s="97">
        <f t="shared" si="6"/>
        <v>1</v>
      </c>
      <c r="J95" s="96" t="str">
        <f>'PROGRAMA LECTURA'!AH14</f>
        <v>C</v>
      </c>
    </row>
    <row r="96" spans="1:10" x14ac:dyDescent="0.25">
      <c r="A96" s="103" t="s">
        <v>88</v>
      </c>
      <c r="B96" s="96" t="s">
        <v>11</v>
      </c>
      <c r="C96" s="96">
        <v>6</v>
      </c>
      <c r="D96" s="96" t="s">
        <v>49</v>
      </c>
      <c r="E96" s="96" t="s">
        <v>75</v>
      </c>
      <c r="F96" s="96" t="s">
        <v>75</v>
      </c>
      <c r="G96" s="97" t="s">
        <v>75</v>
      </c>
      <c r="H96" s="96">
        <f t="shared" si="4"/>
        <v>0</v>
      </c>
      <c r="I96" s="97">
        <f t="shared" si="6"/>
        <v>0</v>
      </c>
      <c r="J96" s="96" t="str">
        <f>'PROGRAMA LECTURA'!AI14</f>
        <v>F</v>
      </c>
    </row>
    <row r="97" spans="1:10" x14ac:dyDescent="0.25">
      <c r="A97" s="103" t="s">
        <v>88</v>
      </c>
      <c r="B97" s="96" t="s">
        <v>12</v>
      </c>
      <c r="C97" s="96">
        <v>7</v>
      </c>
      <c r="D97" s="96" t="s">
        <v>38</v>
      </c>
      <c r="E97" s="96" t="s">
        <v>74</v>
      </c>
      <c r="F97" s="96" t="s">
        <v>74</v>
      </c>
      <c r="G97" s="96" t="s">
        <v>74</v>
      </c>
      <c r="H97" s="96">
        <f t="shared" si="4"/>
        <v>3</v>
      </c>
      <c r="I97" s="97">
        <f t="shared" si="6"/>
        <v>1</v>
      </c>
      <c r="J97" s="96" t="str">
        <f>'PROGRAMA LECTURA'!AJ14</f>
        <v>C</v>
      </c>
    </row>
    <row r="98" spans="1:10" ht="60" x14ac:dyDescent="0.25">
      <c r="A98" s="103" t="s">
        <v>88</v>
      </c>
      <c r="B98" s="96" t="s">
        <v>12</v>
      </c>
      <c r="C98" s="96">
        <v>7</v>
      </c>
      <c r="D98" s="96" t="s">
        <v>87</v>
      </c>
      <c r="E98" s="96"/>
      <c r="F98" s="96"/>
      <c r="G98" s="97"/>
      <c r="H98" s="96">
        <f t="shared" si="4"/>
        <v>0</v>
      </c>
      <c r="I98" s="97">
        <f t="shared" si="6"/>
        <v>0</v>
      </c>
      <c r="J98" s="96" t="str">
        <f>'PROGRAMA LECTURA'!AK14</f>
        <v>F</v>
      </c>
    </row>
    <row r="99" spans="1:10" x14ac:dyDescent="0.25">
      <c r="A99" s="103" t="s">
        <v>88</v>
      </c>
      <c r="B99" s="96" t="s">
        <v>12</v>
      </c>
      <c r="C99" s="96">
        <v>7</v>
      </c>
      <c r="D99" s="96" t="s">
        <v>51</v>
      </c>
      <c r="E99" s="96" t="s">
        <v>76</v>
      </c>
      <c r="F99" s="96" t="s">
        <v>76</v>
      </c>
      <c r="G99" s="97" t="s">
        <v>76</v>
      </c>
      <c r="H99" s="96">
        <f t="shared" si="4"/>
        <v>0</v>
      </c>
      <c r="I99" s="97">
        <f t="shared" si="6"/>
        <v>0</v>
      </c>
      <c r="J99" s="96" t="str">
        <f>'PROGRAMA LECTURA'!AL14</f>
        <v>EP</v>
      </c>
    </row>
    <row r="100" spans="1:10" x14ac:dyDescent="0.25">
      <c r="A100" s="103" t="s">
        <v>88</v>
      </c>
      <c r="B100" s="96" t="s">
        <v>13</v>
      </c>
      <c r="C100" s="96">
        <v>8</v>
      </c>
      <c r="D100" s="96" t="s">
        <v>52</v>
      </c>
      <c r="E100" s="96"/>
      <c r="F100" s="96"/>
      <c r="G100" s="97"/>
      <c r="H100" s="96">
        <f t="shared" si="4"/>
        <v>0</v>
      </c>
      <c r="I100" s="97">
        <f t="shared" si="6"/>
        <v>0</v>
      </c>
      <c r="J100" s="96">
        <f>'PROGRAMA LECTURA'!AM14</f>
        <v>0</v>
      </c>
    </row>
    <row r="101" spans="1:10" x14ac:dyDescent="0.25">
      <c r="A101" s="103" t="s">
        <v>88</v>
      </c>
      <c r="B101" s="96" t="s">
        <v>13</v>
      </c>
      <c r="C101" s="96">
        <v>8</v>
      </c>
      <c r="D101" s="96" t="s">
        <v>53</v>
      </c>
      <c r="E101" s="96"/>
      <c r="F101" s="96"/>
      <c r="G101" s="97"/>
      <c r="H101" s="96">
        <f t="shared" si="4"/>
        <v>0</v>
      </c>
      <c r="I101" s="97">
        <f t="shared" si="6"/>
        <v>0</v>
      </c>
      <c r="J101" s="96">
        <f>'PROGRAMA LECTURA'!AN14</f>
        <v>0</v>
      </c>
    </row>
    <row r="102" spans="1:10" ht="30" x14ac:dyDescent="0.25">
      <c r="A102" s="103" t="s">
        <v>88</v>
      </c>
      <c r="B102" s="96" t="s">
        <v>13</v>
      </c>
      <c r="C102" s="96">
        <v>8</v>
      </c>
      <c r="D102" s="96" t="s">
        <v>54</v>
      </c>
      <c r="E102" s="96"/>
      <c r="F102" s="96"/>
      <c r="G102" s="97"/>
      <c r="H102" s="96">
        <f t="shared" si="4"/>
        <v>0</v>
      </c>
      <c r="I102" s="97">
        <f t="shared" si="6"/>
        <v>0</v>
      </c>
      <c r="J102" s="96">
        <f>'PROGRAMA LECTURA'!AO14</f>
        <v>0</v>
      </c>
    </row>
    <row r="103" spans="1:10" x14ac:dyDescent="0.25">
      <c r="A103" s="103" t="s">
        <v>88</v>
      </c>
      <c r="B103" s="96" t="s">
        <v>14</v>
      </c>
      <c r="C103" s="96">
        <v>9</v>
      </c>
      <c r="D103" s="96" t="s">
        <v>55</v>
      </c>
      <c r="E103" s="96"/>
      <c r="F103" s="96"/>
      <c r="G103" s="97"/>
      <c r="H103" s="96">
        <f t="shared" si="4"/>
        <v>0</v>
      </c>
      <c r="I103" s="97">
        <f t="shared" si="6"/>
        <v>0</v>
      </c>
      <c r="J103" s="96">
        <f>'PROGRAMA LECTURA'!AP14</f>
        <v>0</v>
      </c>
    </row>
    <row r="104" spans="1:10" x14ac:dyDescent="0.25">
      <c r="A104" s="103" t="s">
        <v>88</v>
      </c>
      <c r="B104" s="96" t="s">
        <v>14</v>
      </c>
      <c r="C104" s="96">
        <v>9</v>
      </c>
      <c r="D104" s="96" t="s">
        <v>56</v>
      </c>
      <c r="E104" s="96"/>
      <c r="F104" s="96"/>
      <c r="G104" s="97"/>
      <c r="H104" s="96">
        <f t="shared" si="4"/>
        <v>0</v>
      </c>
      <c r="I104" s="97">
        <f t="shared" si="6"/>
        <v>0</v>
      </c>
      <c r="J104" s="96">
        <f>'PROGRAMA LECTURA'!AQ14</f>
        <v>0</v>
      </c>
    </row>
    <row r="105" spans="1:10" x14ac:dyDescent="0.25">
      <c r="A105" s="103" t="s">
        <v>88</v>
      </c>
      <c r="B105" s="96" t="s">
        <v>15</v>
      </c>
      <c r="C105" s="96">
        <v>10</v>
      </c>
      <c r="D105" s="96" t="s">
        <v>20</v>
      </c>
      <c r="E105" s="96"/>
      <c r="F105" s="96"/>
      <c r="G105" s="97"/>
      <c r="H105" s="96">
        <f t="shared" si="4"/>
        <v>0</v>
      </c>
      <c r="I105" s="97">
        <f t="shared" si="6"/>
        <v>0</v>
      </c>
      <c r="J105" s="96">
        <f>'PROGRAMA LECTURA'!AR14</f>
        <v>0</v>
      </c>
    </row>
    <row r="106" spans="1:10" x14ac:dyDescent="0.25">
      <c r="A106" s="103" t="s">
        <v>88</v>
      </c>
      <c r="B106" s="96" t="s">
        <v>15</v>
      </c>
      <c r="C106" s="96">
        <v>10</v>
      </c>
      <c r="D106" s="96" t="s">
        <v>42</v>
      </c>
      <c r="E106" s="96"/>
      <c r="F106" s="96"/>
      <c r="G106" s="97"/>
      <c r="H106" s="96">
        <f t="shared" si="4"/>
        <v>0</v>
      </c>
      <c r="I106" s="97">
        <f t="shared" si="6"/>
        <v>0</v>
      </c>
      <c r="J106" s="96">
        <f>'PROGRAMA LECTURA'!AS14</f>
        <v>0</v>
      </c>
    </row>
    <row r="107" spans="1:10" ht="30" x14ac:dyDescent="0.25">
      <c r="A107" s="103" t="s">
        <v>88</v>
      </c>
      <c r="B107" s="96" t="s">
        <v>16</v>
      </c>
      <c r="C107" s="96">
        <v>11</v>
      </c>
      <c r="D107" s="96" t="s">
        <v>57</v>
      </c>
      <c r="E107" s="96"/>
      <c r="F107" s="96"/>
      <c r="G107" s="97"/>
      <c r="H107" s="96">
        <f t="shared" si="4"/>
        <v>0</v>
      </c>
      <c r="I107" s="97">
        <f t="shared" si="6"/>
        <v>0</v>
      </c>
      <c r="J107" s="96">
        <f>'PROGRAMA LECTURA'!AT14</f>
        <v>0</v>
      </c>
    </row>
    <row r="108" spans="1:10" x14ac:dyDescent="0.25">
      <c r="A108" s="103" t="s">
        <v>88</v>
      </c>
      <c r="B108" s="96" t="s">
        <v>16</v>
      </c>
      <c r="C108" s="96">
        <v>11</v>
      </c>
      <c r="D108" s="96" t="s">
        <v>39</v>
      </c>
      <c r="E108" s="96"/>
      <c r="F108" s="96"/>
      <c r="G108" s="97"/>
      <c r="H108" s="96">
        <f t="shared" si="4"/>
        <v>0</v>
      </c>
      <c r="I108" s="97">
        <f t="shared" si="6"/>
        <v>0</v>
      </c>
      <c r="J108" s="96">
        <f>'PROGRAMA LECTURA'!AU14</f>
        <v>0</v>
      </c>
    </row>
    <row r="109" spans="1:10" x14ac:dyDescent="0.25">
      <c r="A109" s="103" t="s">
        <v>88</v>
      </c>
      <c r="B109" s="96" t="s">
        <v>17</v>
      </c>
      <c r="C109" s="96">
        <v>12</v>
      </c>
      <c r="D109" s="96" t="s">
        <v>38</v>
      </c>
      <c r="E109" s="96"/>
      <c r="F109" s="96"/>
      <c r="G109" s="97"/>
      <c r="H109" s="96">
        <f t="shared" si="4"/>
        <v>0</v>
      </c>
      <c r="I109" s="97">
        <f t="shared" si="6"/>
        <v>0</v>
      </c>
      <c r="J109" s="96">
        <f>'PROGRAMA LECTURA'!AV14</f>
        <v>0</v>
      </c>
    </row>
    <row r="110" spans="1:10" ht="30" x14ac:dyDescent="0.25">
      <c r="A110" s="96" t="s">
        <v>63</v>
      </c>
      <c r="B110" s="96" t="s">
        <v>6</v>
      </c>
      <c r="C110" s="96">
        <v>1</v>
      </c>
      <c r="D110" s="96" t="s">
        <v>38</v>
      </c>
      <c r="E110" s="96" t="s">
        <v>74</v>
      </c>
      <c r="F110" s="96" t="s">
        <v>74</v>
      </c>
      <c r="G110" s="97" t="s">
        <v>74</v>
      </c>
      <c r="H110" s="96">
        <f t="shared" si="4"/>
        <v>3</v>
      </c>
      <c r="I110" s="97">
        <f>H110/3</f>
        <v>1</v>
      </c>
      <c r="J110" s="96" t="str">
        <f>'PROGRAMA LECTURA'!V15</f>
        <v>C</v>
      </c>
    </row>
    <row r="111" spans="1:10" ht="30" x14ac:dyDescent="0.25">
      <c r="A111" s="98" t="s">
        <v>63</v>
      </c>
      <c r="B111" s="98" t="s">
        <v>6</v>
      </c>
      <c r="C111" s="98">
        <v>1</v>
      </c>
      <c r="D111" s="98" t="s">
        <v>39</v>
      </c>
      <c r="E111" s="96" t="s">
        <v>74</v>
      </c>
      <c r="F111" s="96" t="s">
        <v>74</v>
      </c>
      <c r="G111" s="97" t="s">
        <v>74</v>
      </c>
      <c r="H111" s="98">
        <f t="shared" si="4"/>
        <v>3</v>
      </c>
      <c r="I111" s="99">
        <f>H111/3</f>
        <v>1</v>
      </c>
      <c r="J111" s="100" t="str">
        <f>'PROGRAMA LECTURA'!W15</f>
        <v>C</v>
      </c>
    </row>
    <row r="112" spans="1:10" ht="45" x14ac:dyDescent="0.25">
      <c r="A112" s="96" t="s">
        <v>63</v>
      </c>
      <c r="B112" s="96" t="s">
        <v>7</v>
      </c>
      <c r="C112" s="96">
        <v>2</v>
      </c>
      <c r="D112" s="96" t="s">
        <v>40</v>
      </c>
      <c r="E112" s="96" t="s">
        <v>74</v>
      </c>
      <c r="F112" s="96" t="s">
        <v>74</v>
      </c>
      <c r="G112" s="97" t="s">
        <v>74</v>
      </c>
      <c r="H112" s="96">
        <f t="shared" si="4"/>
        <v>3</v>
      </c>
      <c r="I112" s="97">
        <f t="shared" ref="I112:I131" si="7">H112/3</f>
        <v>1</v>
      </c>
      <c r="J112" s="96" t="str">
        <f>'PROGRAMA LECTURA'!X15</f>
        <v>C</v>
      </c>
    </row>
    <row r="113" spans="1:10" ht="30" x14ac:dyDescent="0.25">
      <c r="A113" s="96" t="s">
        <v>63</v>
      </c>
      <c r="B113" s="96" t="s">
        <v>7</v>
      </c>
      <c r="C113" s="96">
        <v>2</v>
      </c>
      <c r="D113" s="96" t="s">
        <v>20</v>
      </c>
      <c r="E113" s="96" t="s">
        <v>74</v>
      </c>
      <c r="F113" s="96" t="s">
        <v>74</v>
      </c>
      <c r="G113" s="97" t="s">
        <v>74</v>
      </c>
      <c r="H113" s="96">
        <f t="shared" si="4"/>
        <v>3</v>
      </c>
      <c r="I113" s="97">
        <f t="shared" si="7"/>
        <v>1</v>
      </c>
      <c r="J113" s="96" t="str">
        <f>'PROGRAMA LECTURA'!Y15</f>
        <v>C</v>
      </c>
    </row>
    <row r="114" spans="1:10" ht="30" x14ac:dyDescent="0.25">
      <c r="A114" s="96" t="s">
        <v>63</v>
      </c>
      <c r="B114" s="96" t="s">
        <v>8</v>
      </c>
      <c r="C114" s="96">
        <v>3</v>
      </c>
      <c r="D114" s="96" t="s">
        <v>41</v>
      </c>
      <c r="E114" s="96" t="s">
        <v>74</v>
      </c>
      <c r="F114" s="96" t="s">
        <v>74</v>
      </c>
      <c r="G114" s="97" t="s">
        <v>74</v>
      </c>
      <c r="H114" s="96">
        <f t="shared" si="4"/>
        <v>3</v>
      </c>
      <c r="I114" s="97">
        <f t="shared" si="7"/>
        <v>1</v>
      </c>
      <c r="J114" s="96" t="str">
        <f>'PROGRAMA LECTURA'!Z15</f>
        <v>C</v>
      </c>
    </row>
    <row r="115" spans="1:10" ht="30" x14ac:dyDescent="0.25">
      <c r="A115" s="96" t="s">
        <v>63</v>
      </c>
      <c r="B115" s="96" t="s">
        <v>8</v>
      </c>
      <c r="C115" s="96">
        <v>3</v>
      </c>
      <c r="D115" s="96" t="s">
        <v>42</v>
      </c>
      <c r="E115" s="96" t="s">
        <v>74</v>
      </c>
      <c r="F115" s="96" t="s">
        <v>74</v>
      </c>
      <c r="G115" s="97" t="s">
        <v>74</v>
      </c>
      <c r="H115" s="96">
        <f t="shared" si="4"/>
        <v>3</v>
      </c>
      <c r="I115" s="97">
        <f t="shared" si="7"/>
        <v>1</v>
      </c>
      <c r="J115" s="96" t="str">
        <f>'PROGRAMA LECTURA'!AA15</f>
        <v>C</v>
      </c>
    </row>
    <row r="116" spans="1:10" ht="60" x14ac:dyDescent="0.25">
      <c r="A116" s="96" t="s">
        <v>63</v>
      </c>
      <c r="B116" s="96" t="s">
        <v>9</v>
      </c>
      <c r="C116" s="96">
        <v>4</v>
      </c>
      <c r="D116" s="96" t="s">
        <v>43</v>
      </c>
      <c r="E116" s="96" t="s">
        <v>74</v>
      </c>
      <c r="F116" s="96" t="s">
        <v>74</v>
      </c>
      <c r="G116" s="97" t="s">
        <v>74</v>
      </c>
      <c r="H116" s="96">
        <f t="shared" si="4"/>
        <v>3</v>
      </c>
      <c r="I116" s="97">
        <f t="shared" si="7"/>
        <v>1</v>
      </c>
      <c r="J116" s="96" t="str">
        <f>'PROGRAMA LECTURA'!AB15</f>
        <v>C</v>
      </c>
    </row>
    <row r="117" spans="1:10" ht="30" x14ac:dyDescent="0.25">
      <c r="A117" s="96" t="s">
        <v>63</v>
      </c>
      <c r="B117" s="96" t="s">
        <v>9</v>
      </c>
      <c r="C117" s="96">
        <v>4</v>
      </c>
      <c r="D117" s="96" t="s">
        <v>44</v>
      </c>
      <c r="E117" s="96" t="s">
        <v>74</v>
      </c>
      <c r="F117" s="96" t="s">
        <v>74</v>
      </c>
      <c r="G117" s="97" t="s">
        <v>74</v>
      </c>
      <c r="H117" s="96">
        <f t="shared" si="4"/>
        <v>3</v>
      </c>
      <c r="I117" s="97">
        <f t="shared" si="7"/>
        <v>1</v>
      </c>
      <c r="J117" s="96" t="str">
        <f>'PROGRAMA LECTURA'!AC15</f>
        <v>C</v>
      </c>
    </row>
    <row r="118" spans="1:10" ht="30" x14ac:dyDescent="0.25">
      <c r="A118" s="96" t="s">
        <v>63</v>
      </c>
      <c r="B118" s="96" t="s">
        <v>9</v>
      </c>
      <c r="C118" s="96">
        <v>4</v>
      </c>
      <c r="D118" s="96" t="s">
        <v>45</v>
      </c>
      <c r="E118" s="96" t="s">
        <v>74</v>
      </c>
      <c r="F118" s="96" t="s">
        <v>74</v>
      </c>
      <c r="G118" s="97" t="s">
        <v>74</v>
      </c>
      <c r="H118" s="96">
        <f t="shared" si="4"/>
        <v>3</v>
      </c>
      <c r="I118" s="97">
        <f t="shared" si="7"/>
        <v>1</v>
      </c>
      <c r="J118" s="96" t="str">
        <f>'PROGRAMA LECTURA'!AD15</f>
        <v>C</v>
      </c>
    </row>
    <row r="119" spans="1:10" ht="30" x14ac:dyDescent="0.25">
      <c r="A119" s="96" t="s">
        <v>63</v>
      </c>
      <c r="B119" s="96" t="s">
        <v>10</v>
      </c>
      <c r="C119" s="96">
        <v>5</v>
      </c>
      <c r="D119" s="96" t="s">
        <v>46</v>
      </c>
      <c r="E119" s="96" t="s">
        <v>74</v>
      </c>
      <c r="F119" s="96" t="s">
        <v>74</v>
      </c>
      <c r="G119" s="97" t="s">
        <v>74</v>
      </c>
      <c r="H119" s="96">
        <f t="shared" si="4"/>
        <v>3</v>
      </c>
      <c r="I119" s="97">
        <f t="shared" si="7"/>
        <v>1</v>
      </c>
      <c r="J119" s="96" t="str">
        <f>'PROGRAMA LECTURA'!AE15</f>
        <v>C</v>
      </c>
    </row>
    <row r="120" spans="1:10" ht="30" x14ac:dyDescent="0.25">
      <c r="A120" s="96" t="s">
        <v>63</v>
      </c>
      <c r="B120" s="96" t="s">
        <v>10</v>
      </c>
      <c r="C120" s="96">
        <v>5</v>
      </c>
      <c r="D120" s="96" t="s">
        <v>47</v>
      </c>
      <c r="E120" s="96" t="s">
        <v>74</v>
      </c>
      <c r="F120" s="96" t="s">
        <v>74</v>
      </c>
      <c r="G120" s="97" t="s">
        <v>74</v>
      </c>
      <c r="H120" s="96">
        <f t="shared" si="4"/>
        <v>3</v>
      </c>
      <c r="I120" s="97">
        <f t="shared" si="7"/>
        <v>1</v>
      </c>
      <c r="J120" s="96" t="str">
        <f>'PROGRAMA LECTURA'!AF15</f>
        <v>C</v>
      </c>
    </row>
    <row r="121" spans="1:10" ht="30" x14ac:dyDescent="0.25">
      <c r="A121" s="96" t="s">
        <v>63</v>
      </c>
      <c r="B121" s="96" t="s">
        <v>11</v>
      </c>
      <c r="C121" s="96">
        <v>6</v>
      </c>
      <c r="D121" s="96" t="s">
        <v>20</v>
      </c>
      <c r="E121" s="96" t="s">
        <v>74</v>
      </c>
      <c r="F121" s="96" t="s">
        <v>74</v>
      </c>
      <c r="G121" s="97" t="s">
        <v>74</v>
      </c>
      <c r="H121" s="96">
        <f t="shared" si="4"/>
        <v>3</v>
      </c>
      <c r="I121" s="97">
        <f t="shared" si="7"/>
        <v>1</v>
      </c>
      <c r="J121" s="96" t="str">
        <f>'PROGRAMA LECTURA'!AG15</f>
        <v>C</v>
      </c>
    </row>
    <row r="122" spans="1:10" ht="45" x14ac:dyDescent="0.25">
      <c r="A122" s="96" t="s">
        <v>63</v>
      </c>
      <c r="B122" s="96" t="s">
        <v>11</v>
      </c>
      <c r="C122" s="96">
        <v>6</v>
      </c>
      <c r="D122" s="96" t="s">
        <v>48</v>
      </c>
      <c r="E122" s="96" t="s">
        <v>74</v>
      </c>
      <c r="F122" s="96" t="s">
        <v>74</v>
      </c>
      <c r="G122" s="97" t="s">
        <v>74</v>
      </c>
      <c r="H122" s="96">
        <f t="shared" si="4"/>
        <v>3</v>
      </c>
      <c r="I122" s="97">
        <f t="shared" si="7"/>
        <v>1</v>
      </c>
      <c r="J122" s="96" t="str">
        <f>'PROGRAMA LECTURA'!AH15</f>
        <v>C</v>
      </c>
    </row>
    <row r="123" spans="1:10" ht="30" x14ac:dyDescent="0.25">
      <c r="A123" s="96" t="s">
        <v>63</v>
      </c>
      <c r="B123" s="96" t="s">
        <v>11</v>
      </c>
      <c r="C123" s="96">
        <v>6</v>
      </c>
      <c r="D123" s="96" t="s">
        <v>49</v>
      </c>
      <c r="E123" s="96" t="s">
        <v>75</v>
      </c>
      <c r="F123" s="96" t="s">
        <v>75</v>
      </c>
      <c r="G123" s="97" t="s">
        <v>75</v>
      </c>
      <c r="H123" s="96">
        <f t="shared" si="4"/>
        <v>0</v>
      </c>
      <c r="I123" s="97">
        <f t="shared" si="7"/>
        <v>0</v>
      </c>
      <c r="J123" s="96" t="str">
        <f>'PROGRAMA LECTURA'!AI15</f>
        <v>F</v>
      </c>
    </row>
    <row r="124" spans="1:10" ht="30" x14ac:dyDescent="0.25">
      <c r="A124" s="96" t="s">
        <v>63</v>
      </c>
      <c r="B124" s="96" t="s">
        <v>12</v>
      </c>
      <c r="C124" s="96">
        <v>7</v>
      </c>
      <c r="D124" s="96" t="s">
        <v>38</v>
      </c>
      <c r="E124" s="96" t="s">
        <v>74</v>
      </c>
      <c r="F124" s="96" t="s">
        <v>74</v>
      </c>
      <c r="G124" s="96" t="s">
        <v>74</v>
      </c>
      <c r="H124" s="96">
        <f t="shared" si="4"/>
        <v>3</v>
      </c>
      <c r="I124" s="97">
        <f t="shared" si="7"/>
        <v>1</v>
      </c>
      <c r="J124" s="96" t="str">
        <f>'PROGRAMA LECTURA'!AJ15</f>
        <v>C</v>
      </c>
    </row>
    <row r="125" spans="1:10" ht="60" x14ac:dyDescent="0.25">
      <c r="A125" s="96" t="s">
        <v>63</v>
      </c>
      <c r="B125" s="96" t="s">
        <v>12</v>
      </c>
      <c r="C125" s="96">
        <v>7</v>
      </c>
      <c r="D125" s="96" t="s">
        <v>87</v>
      </c>
      <c r="E125" s="96"/>
      <c r="F125" s="96"/>
      <c r="G125" s="97"/>
      <c r="H125" s="96">
        <f t="shared" si="4"/>
        <v>0</v>
      </c>
      <c r="I125" s="97">
        <f t="shared" si="7"/>
        <v>0</v>
      </c>
      <c r="J125" s="96" t="str">
        <f>'PROGRAMA LECTURA'!AK15</f>
        <v>F</v>
      </c>
    </row>
    <row r="126" spans="1:10" ht="30" x14ac:dyDescent="0.25">
      <c r="A126" s="96" t="s">
        <v>63</v>
      </c>
      <c r="B126" s="96" t="s">
        <v>12</v>
      </c>
      <c r="C126" s="96">
        <v>7</v>
      </c>
      <c r="D126" s="96" t="s">
        <v>51</v>
      </c>
      <c r="E126" s="96" t="s">
        <v>76</v>
      </c>
      <c r="F126" s="96" t="s">
        <v>76</v>
      </c>
      <c r="G126" s="97" t="s">
        <v>76</v>
      </c>
      <c r="H126" s="96">
        <f t="shared" si="4"/>
        <v>0</v>
      </c>
      <c r="I126" s="97">
        <f t="shared" si="7"/>
        <v>0</v>
      </c>
      <c r="J126" s="96" t="str">
        <f>'PROGRAMA LECTURA'!AL15</f>
        <v>EP</v>
      </c>
    </row>
    <row r="127" spans="1:10" ht="30" x14ac:dyDescent="0.25">
      <c r="A127" s="96" t="s">
        <v>63</v>
      </c>
      <c r="B127" s="96" t="s">
        <v>13</v>
      </c>
      <c r="C127" s="96">
        <v>8</v>
      </c>
      <c r="D127" s="96" t="s">
        <v>52</v>
      </c>
      <c r="E127" s="96"/>
      <c r="F127" s="96"/>
      <c r="G127" s="97"/>
      <c r="H127" s="96">
        <f t="shared" si="4"/>
        <v>0</v>
      </c>
      <c r="I127" s="97">
        <f t="shared" si="7"/>
        <v>0</v>
      </c>
      <c r="J127" s="96">
        <f>'PROGRAMA LECTURA'!AM15</f>
        <v>0</v>
      </c>
    </row>
    <row r="128" spans="1:10" ht="30" x14ac:dyDescent="0.25">
      <c r="A128" s="96" t="s">
        <v>63</v>
      </c>
      <c r="B128" s="96" t="s">
        <v>13</v>
      </c>
      <c r="C128" s="96">
        <v>8</v>
      </c>
      <c r="D128" s="96" t="s">
        <v>53</v>
      </c>
      <c r="E128" s="96"/>
      <c r="F128" s="96"/>
      <c r="G128" s="97"/>
      <c r="H128" s="96">
        <f t="shared" si="4"/>
        <v>0</v>
      </c>
      <c r="I128" s="97">
        <f t="shared" si="7"/>
        <v>0</v>
      </c>
      <c r="J128" s="96">
        <f>'PROGRAMA LECTURA'!AN15</f>
        <v>0</v>
      </c>
    </row>
    <row r="129" spans="1:10" ht="30" x14ac:dyDescent="0.25">
      <c r="A129" s="96" t="s">
        <v>63</v>
      </c>
      <c r="B129" s="96" t="s">
        <v>13</v>
      </c>
      <c r="C129" s="96">
        <v>8</v>
      </c>
      <c r="D129" s="96" t="s">
        <v>54</v>
      </c>
      <c r="E129" s="96"/>
      <c r="F129" s="96"/>
      <c r="G129" s="97"/>
      <c r="H129" s="96">
        <f t="shared" si="4"/>
        <v>0</v>
      </c>
      <c r="I129" s="97">
        <f t="shared" si="7"/>
        <v>0</v>
      </c>
      <c r="J129" s="96">
        <f>'PROGRAMA LECTURA'!AO15</f>
        <v>0</v>
      </c>
    </row>
    <row r="130" spans="1:10" ht="30" x14ac:dyDescent="0.25">
      <c r="A130" s="96" t="s">
        <v>63</v>
      </c>
      <c r="B130" s="96" t="s">
        <v>14</v>
      </c>
      <c r="C130" s="96">
        <v>9</v>
      </c>
      <c r="D130" s="96" t="s">
        <v>55</v>
      </c>
      <c r="E130" s="96"/>
      <c r="F130" s="96"/>
      <c r="G130" s="97"/>
      <c r="H130" s="96">
        <f t="shared" ref="H130:H193" si="8">COUNTIF(E130:G130,"C")</f>
        <v>0</v>
      </c>
      <c r="I130" s="97">
        <f t="shared" si="7"/>
        <v>0</v>
      </c>
      <c r="J130" s="96">
        <f>'PROGRAMA LECTURA'!AP15</f>
        <v>0</v>
      </c>
    </row>
    <row r="131" spans="1:10" ht="30" x14ac:dyDescent="0.25">
      <c r="A131" s="96" t="s">
        <v>63</v>
      </c>
      <c r="B131" s="96" t="s">
        <v>14</v>
      </c>
      <c r="C131" s="96">
        <v>9</v>
      </c>
      <c r="D131" s="96" t="s">
        <v>56</v>
      </c>
      <c r="E131" s="96"/>
      <c r="F131" s="96"/>
      <c r="G131" s="97"/>
      <c r="H131" s="96">
        <f t="shared" si="8"/>
        <v>0</v>
      </c>
      <c r="I131" s="97">
        <f t="shared" si="7"/>
        <v>0</v>
      </c>
      <c r="J131" s="96">
        <f>'PROGRAMA LECTURA'!AQ15</f>
        <v>0</v>
      </c>
    </row>
    <row r="132" spans="1:10" ht="30" x14ac:dyDescent="0.25">
      <c r="A132" s="96" t="s">
        <v>63</v>
      </c>
      <c r="B132" s="96" t="s">
        <v>15</v>
      </c>
      <c r="C132" s="96">
        <v>10</v>
      </c>
      <c r="D132" s="96" t="s">
        <v>20</v>
      </c>
      <c r="E132" s="96"/>
      <c r="F132" s="96"/>
      <c r="G132" s="96"/>
      <c r="H132" s="96">
        <f t="shared" si="8"/>
        <v>0</v>
      </c>
      <c r="I132" s="97">
        <f>H132/3</f>
        <v>0</v>
      </c>
      <c r="J132" s="96">
        <f>'PROGRAMA LECTURA'!AR15</f>
        <v>0</v>
      </c>
    </row>
    <row r="133" spans="1:10" ht="30" x14ac:dyDescent="0.25">
      <c r="A133" s="98" t="s">
        <v>63</v>
      </c>
      <c r="B133" s="98" t="s">
        <v>15</v>
      </c>
      <c r="C133" s="98">
        <v>10</v>
      </c>
      <c r="D133" s="98" t="s">
        <v>42</v>
      </c>
      <c r="E133" s="98"/>
      <c r="F133" s="98"/>
      <c r="G133" s="98"/>
      <c r="H133" s="98">
        <f t="shared" si="8"/>
        <v>0</v>
      </c>
      <c r="I133" s="99">
        <f>H133/3</f>
        <v>0</v>
      </c>
      <c r="J133" s="100">
        <f>'PROGRAMA LECTURA'!AS15</f>
        <v>0</v>
      </c>
    </row>
    <row r="134" spans="1:10" ht="30" x14ac:dyDescent="0.25">
      <c r="A134" s="96" t="s">
        <v>63</v>
      </c>
      <c r="B134" s="96" t="s">
        <v>16</v>
      </c>
      <c r="C134" s="96">
        <v>11</v>
      </c>
      <c r="D134" s="96" t="s">
        <v>57</v>
      </c>
      <c r="E134" s="96"/>
      <c r="F134" s="96"/>
      <c r="G134" s="97"/>
      <c r="H134" s="96">
        <f t="shared" si="8"/>
        <v>0</v>
      </c>
      <c r="I134" s="97">
        <f t="shared" ref="I134:I153" si="9">H134/3</f>
        <v>0</v>
      </c>
      <c r="J134" s="96">
        <f>'PROGRAMA LECTURA'!AT15</f>
        <v>0</v>
      </c>
    </row>
    <row r="135" spans="1:10" ht="30" x14ac:dyDescent="0.25">
      <c r="A135" s="96" t="s">
        <v>63</v>
      </c>
      <c r="B135" s="96" t="s">
        <v>16</v>
      </c>
      <c r="C135" s="96">
        <v>11</v>
      </c>
      <c r="D135" s="96" t="s">
        <v>39</v>
      </c>
      <c r="E135" s="96"/>
      <c r="F135" s="96"/>
      <c r="G135" s="97"/>
      <c r="H135" s="96">
        <f t="shared" si="8"/>
        <v>0</v>
      </c>
      <c r="I135" s="97">
        <f t="shared" si="9"/>
        <v>0</v>
      </c>
      <c r="J135" s="96">
        <f>'PROGRAMA LECTURA'!AU15</f>
        <v>0</v>
      </c>
    </row>
    <row r="136" spans="1:10" ht="30" x14ac:dyDescent="0.25">
      <c r="A136" s="96" t="s">
        <v>63</v>
      </c>
      <c r="B136" s="96" t="s">
        <v>17</v>
      </c>
      <c r="C136" s="96">
        <v>12</v>
      </c>
      <c r="D136" s="96" t="s">
        <v>38</v>
      </c>
      <c r="E136" s="96"/>
      <c r="F136" s="96"/>
      <c r="G136" s="97"/>
      <c r="H136" s="96">
        <f t="shared" si="8"/>
        <v>0</v>
      </c>
      <c r="I136" s="97">
        <f t="shared" si="9"/>
        <v>0</v>
      </c>
      <c r="J136" s="96">
        <f>'PROGRAMA LECTURA'!AV15</f>
        <v>0</v>
      </c>
    </row>
    <row r="137" spans="1:10" x14ac:dyDescent="0.25">
      <c r="A137" s="101" t="s">
        <v>64</v>
      </c>
      <c r="B137" s="96" t="s">
        <v>6</v>
      </c>
      <c r="C137" s="96">
        <v>1</v>
      </c>
      <c r="D137" s="96" t="s">
        <v>38</v>
      </c>
      <c r="E137" s="96" t="s">
        <v>74</v>
      </c>
      <c r="F137" s="96" t="s">
        <v>74</v>
      </c>
      <c r="G137" s="97" t="s">
        <v>74</v>
      </c>
      <c r="H137" s="96">
        <f t="shared" si="8"/>
        <v>3</v>
      </c>
      <c r="I137" s="97">
        <f t="shared" si="9"/>
        <v>1</v>
      </c>
      <c r="J137" s="96" t="str">
        <f>'PROGRAMA LECTURA'!V16</f>
        <v>C</v>
      </c>
    </row>
    <row r="138" spans="1:10" x14ac:dyDescent="0.25">
      <c r="A138" s="101" t="s">
        <v>64</v>
      </c>
      <c r="B138" s="96" t="s">
        <v>6</v>
      </c>
      <c r="C138" s="96">
        <v>1</v>
      </c>
      <c r="D138" s="96" t="s">
        <v>39</v>
      </c>
      <c r="E138" s="96" t="s">
        <v>74</v>
      </c>
      <c r="F138" s="96" t="s">
        <v>74</v>
      </c>
      <c r="G138" s="97" t="s">
        <v>74</v>
      </c>
      <c r="H138" s="96">
        <f t="shared" si="8"/>
        <v>3</v>
      </c>
      <c r="I138" s="97">
        <f t="shared" si="9"/>
        <v>1</v>
      </c>
      <c r="J138" s="96" t="str">
        <f>'PROGRAMA LECTURA'!W16</f>
        <v>C</v>
      </c>
    </row>
    <row r="139" spans="1:10" ht="45" x14ac:dyDescent="0.25">
      <c r="A139" s="101" t="s">
        <v>64</v>
      </c>
      <c r="B139" s="96" t="s">
        <v>7</v>
      </c>
      <c r="C139" s="96">
        <v>2</v>
      </c>
      <c r="D139" s="96" t="s">
        <v>40</v>
      </c>
      <c r="E139" s="96" t="s">
        <v>74</v>
      </c>
      <c r="F139" s="96" t="s">
        <v>74</v>
      </c>
      <c r="G139" s="97" t="s">
        <v>74</v>
      </c>
      <c r="H139" s="96">
        <f t="shared" si="8"/>
        <v>3</v>
      </c>
      <c r="I139" s="97">
        <f t="shared" si="9"/>
        <v>1</v>
      </c>
      <c r="J139" s="96" t="str">
        <f>'PROGRAMA LECTURA'!X16</f>
        <v>C</v>
      </c>
    </row>
    <row r="140" spans="1:10" x14ac:dyDescent="0.25">
      <c r="A140" s="101" t="s">
        <v>64</v>
      </c>
      <c r="B140" s="96" t="s">
        <v>7</v>
      </c>
      <c r="C140" s="96">
        <v>2</v>
      </c>
      <c r="D140" s="96" t="s">
        <v>20</v>
      </c>
      <c r="E140" s="96" t="s">
        <v>74</v>
      </c>
      <c r="F140" s="96" t="s">
        <v>74</v>
      </c>
      <c r="G140" s="97" t="s">
        <v>74</v>
      </c>
      <c r="H140" s="96">
        <f t="shared" si="8"/>
        <v>3</v>
      </c>
      <c r="I140" s="97">
        <f t="shared" si="9"/>
        <v>1</v>
      </c>
      <c r="J140" s="96" t="str">
        <f>'PROGRAMA LECTURA'!Y16</f>
        <v>C</v>
      </c>
    </row>
    <row r="141" spans="1:10" x14ac:dyDescent="0.25">
      <c r="A141" s="101" t="s">
        <v>64</v>
      </c>
      <c r="B141" s="96" t="s">
        <v>8</v>
      </c>
      <c r="C141" s="96">
        <v>3</v>
      </c>
      <c r="D141" s="96" t="s">
        <v>41</v>
      </c>
      <c r="E141" s="96" t="s">
        <v>74</v>
      </c>
      <c r="F141" s="96" t="s">
        <v>74</v>
      </c>
      <c r="G141" s="97" t="s">
        <v>74</v>
      </c>
      <c r="H141" s="96">
        <f t="shared" si="8"/>
        <v>3</v>
      </c>
      <c r="I141" s="97">
        <f t="shared" si="9"/>
        <v>1</v>
      </c>
      <c r="J141" s="96" t="str">
        <f>'PROGRAMA LECTURA'!Z16</f>
        <v>C</v>
      </c>
    </row>
    <row r="142" spans="1:10" x14ac:dyDescent="0.25">
      <c r="A142" s="101" t="s">
        <v>64</v>
      </c>
      <c r="B142" s="96" t="s">
        <v>8</v>
      </c>
      <c r="C142" s="96">
        <v>3</v>
      </c>
      <c r="D142" s="96" t="s">
        <v>42</v>
      </c>
      <c r="E142" s="96" t="s">
        <v>74</v>
      </c>
      <c r="F142" s="96" t="s">
        <v>74</v>
      </c>
      <c r="G142" s="97" t="s">
        <v>74</v>
      </c>
      <c r="H142" s="96">
        <f t="shared" si="8"/>
        <v>3</v>
      </c>
      <c r="I142" s="97">
        <f t="shared" si="9"/>
        <v>1</v>
      </c>
      <c r="J142" s="96" t="str">
        <f>'PROGRAMA LECTURA'!AA16</f>
        <v>C</v>
      </c>
    </row>
    <row r="143" spans="1:10" ht="60" x14ac:dyDescent="0.25">
      <c r="A143" s="101" t="s">
        <v>64</v>
      </c>
      <c r="B143" s="96" t="s">
        <v>9</v>
      </c>
      <c r="C143" s="96">
        <v>4</v>
      </c>
      <c r="D143" s="96" t="s">
        <v>43</v>
      </c>
      <c r="E143" s="96" t="s">
        <v>74</v>
      </c>
      <c r="F143" s="96" t="s">
        <v>74</v>
      </c>
      <c r="G143" s="97" t="s">
        <v>74</v>
      </c>
      <c r="H143" s="96">
        <f t="shared" si="8"/>
        <v>3</v>
      </c>
      <c r="I143" s="97">
        <f t="shared" si="9"/>
        <v>1</v>
      </c>
      <c r="J143" s="96" t="str">
        <f>'PROGRAMA LECTURA'!AB16</f>
        <v>C</v>
      </c>
    </row>
    <row r="144" spans="1:10" x14ac:dyDescent="0.25">
      <c r="A144" s="101" t="s">
        <v>64</v>
      </c>
      <c r="B144" s="96" t="s">
        <v>9</v>
      </c>
      <c r="C144" s="96">
        <v>4</v>
      </c>
      <c r="D144" s="96" t="s">
        <v>44</v>
      </c>
      <c r="E144" s="96" t="s">
        <v>74</v>
      </c>
      <c r="F144" s="96" t="s">
        <v>74</v>
      </c>
      <c r="G144" s="97" t="s">
        <v>74</v>
      </c>
      <c r="H144" s="96">
        <f t="shared" si="8"/>
        <v>3</v>
      </c>
      <c r="I144" s="97">
        <f t="shared" si="9"/>
        <v>1</v>
      </c>
      <c r="J144" s="96" t="str">
        <f>'PROGRAMA LECTURA'!AC16</f>
        <v>C</v>
      </c>
    </row>
    <row r="145" spans="1:10" ht="30" x14ac:dyDescent="0.25">
      <c r="A145" s="101" t="s">
        <v>64</v>
      </c>
      <c r="B145" s="96" t="s">
        <v>9</v>
      </c>
      <c r="C145" s="96">
        <v>4</v>
      </c>
      <c r="D145" s="96" t="s">
        <v>45</v>
      </c>
      <c r="E145" s="96" t="s">
        <v>74</v>
      </c>
      <c r="F145" s="96" t="s">
        <v>74</v>
      </c>
      <c r="G145" s="97" t="s">
        <v>74</v>
      </c>
      <c r="H145" s="96">
        <f t="shared" si="8"/>
        <v>3</v>
      </c>
      <c r="I145" s="97">
        <f t="shared" si="9"/>
        <v>1</v>
      </c>
      <c r="J145" s="96" t="str">
        <f>'PROGRAMA LECTURA'!AD16</f>
        <v>C</v>
      </c>
    </row>
    <row r="146" spans="1:10" x14ac:dyDescent="0.25">
      <c r="A146" s="101" t="s">
        <v>64</v>
      </c>
      <c r="B146" s="96" t="s">
        <v>10</v>
      </c>
      <c r="C146" s="96">
        <v>5</v>
      </c>
      <c r="D146" s="96" t="s">
        <v>46</v>
      </c>
      <c r="E146" s="96" t="s">
        <v>74</v>
      </c>
      <c r="F146" s="96" t="s">
        <v>74</v>
      </c>
      <c r="G146" s="97" t="s">
        <v>74</v>
      </c>
      <c r="H146" s="96">
        <f t="shared" si="8"/>
        <v>3</v>
      </c>
      <c r="I146" s="97">
        <f t="shared" si="9"/>
        <v>1</v>
      </c>
      <c r="J146" s="96" t="str">
        <f>'PROGRAMA LECTURA'!AE16</f>
        <v>C</v>
      </c>
    </row>
    <row r="147" spans="1:10" ht="30" x14ac:dyDescent="0.25">
      <c r="A147" s="101" t="s">
        <v>64</v>
      </c>
      <c r="B147" s="96" t="s">
        <v>10</v>
      </c>
      <c r="C147" s="96">
        <v>5</v>
      </c>
      <c r="D147" s="96" t="s">
        <v>47</v>
      </c>
      <c r="E147" s="96" t="s">
        <v>74</v>
      </c>
      <c r="F147" s="96" t="s">
        <v>74</v>
      </c>
      <c r="G147" s="97" t="s">
        <v>74</v>
      </c>
      <c r="H147" s="96">
        <f t="shared" si="8"/>
        <v>3</v>
      </c>
      <c r="I147" s="97">
        <f t="shared" si="9"/>
        <v>1</v>
      </c>
      <c r="J147" s="96" t="str">
        <f>'PROGRAMA LECTURA'!AF16</f>
        <v>C</v>
      </c>
    </row>
    <row r="148" spans="1:10" x14ac:dyDescent="0.25">
      <c r="A148" s="101" t="s">
        <v>64</v>
      </c>
      <c r="B148" s="96" t="s">
        <v>11</v>
      </c>
      <c r="C148" s="96">
        <v>6</v>
      </c>
      <c r="D148" s="96" t="s">
        <v>20</v>
      </c>
      <c r="E148" s="96" t="s">
        <v>74</v>
      </c>
      <c r="F148" s="96" t="s">
        <v>74</v>
      </c>
      <c r="G148" s="97" t="s">
        <v>74</v>
      </c>
      <c r="H148" s="96">
        <f t="shared" si="8"/>
        <v>3</v>
      </c>
      <c r="I148" s="97">
        <f t="shared" si="9"/>
        <v>1</v>
      </c>
      <c r="J148" s="96" t="str">
        <f>'PROGRAMA LECTURA'!AG16</f>
        <v>C</v>
      </c>
    </row>
    <row r="149" spans="1:10" ht="45" x14ac:dyDescent="0.25">
      <c r="A149" s="101" t="s">
        <v>64</v>
      </c>
      <c r="B149" s="96" t="s">
        <v>11</v>
      </c>
      <c r="C149" s="96">
        <v>6</v>
      </c>
      <c r="D149" s="96" t="s">
        <v>48</v>
      </c>
      <c r="E149" s="96" t="s">
        <v>74</v>
      </c>
      <c r="F149" s="96" t="s">
        <v>74</v>
      </c>
      <c r="G149" s="97" t="s">
        <v>74</v>
      </c>
      <c r="H149" s="96">
        <f t="shared" si="8"/>
        <v>3</v>
      </c>
      <c r="I149" s="97">
        <f t="shared" si="9"/>
        <v>1</v>
      </c>
      <c r="J149" s="96" t="str">
        <f>'PROGRAMA LECTURA'!AH16</f>
        <v>C</v>
      </c>
    </row>
    <row r="150" spans="1:10" x14ac:dyDescent="0.25">
      <c r="A150" s="101" t="s">
        <v>64</v>
      </c>
      <c r="B150" s="96" t="s">
        <v>11</v>
      </c>
      <c r="C150" s="96">
        <v>6</v>
      </c>
      <c r="D150" s="96" t="s">
        <v>49</v>
      </c>
      <c r="E150" s="96" t="s">
        <v>75</v>
      </c>
      <c r="F150" s="96" t="s">
        <v>75</v>
      </c>
      <c r="G150" s="97" t="s">
        <v>75</v>
      </c>
      <c r="H150" s="96">
        <f t="shared" si="8"/>
        <v>0</v>
      </c>
      <c r="I150" s="97">
        <f t="shared" si="9"/>
        <v>0</v>
      </c>
      <c r="J150" s="96" t="str">
        <f>'PROGRAMA LECTURA'!AI16</f>
        <v>F</v>
      </c>
    </row>
    <row r="151" spans="1:10" x14ac:dyDescent="0.25">
      <c r="A151" s="101" t="s">
        <v>64</v>
      </c>
      <c r="B151" s="96" t="s">
        <v>12</v>
      </c>
      <c r="C151" s="96">
        <v>7</v>
      </c>
      <c r="D151" s="96" t="s">
        <v>38</v>
      </c>
      <c r="E151" s="96" t="s">
        <v>74</v>
      </c>
      <c r="F151" s="96" t="s">
        <v>74</v>
      </c>
      <c r="G151" s="96" t="s">
        <v>74</v>
      </c>
      <c r="H151" s="96">
        <f t="shared" si="8"/>
        <v>3</v>
      </c>
      <c r="I151" s="97">
        <f t="shared" si="9"/>
        <v>1</v>
      </c>
      <c r="J151" s="96" t="str">
        <f>'PROGRAMA LECTURA'!AJ16</f>
        <v>C</v>
      </c>
    </row>
    <row r="152" spans="1:10" ht="60" x14ac:dyDescent="0.25">
      <c r="A152" s="101" t="s">
        <v>64</v>
      </c>
      <c r="B152" s="96" t="s">
        <v>12</v>
      </c>
      <c r="C152" s="96">
        <v>7</v>
      </c>
      <c r="D152" s="96" t="s">
        <v>87</v>
      </c>
      <c r="E152" s="96"/>
      <c r="F152" s="96"/>
      <c r="G152" s="97"/>
      <c r="H152" s="96">
        <f t="shared" si="8"/>
        <v>0</v>
      </c>
      <c r="I152" s="97">
        <f t="shared" si="9"/>
        <v>0</v>
      </c>
      <c r="J152" s="96" t="str">
        <f>'PROGRAMA LECTURA'!AK16</f>
        <v>F</v>
      </c>
    </row>
    <row r="153" spans="1:10" x14ac:dyDescent="0.25">
      <c r="A153" s="101" t="s">
        <v>64</v>
      </c>
      <c r="B153" s="96" t="s">
        <v>12</v>
      </c>
      <c r="C153" s="96">
        <v>7</v>
      </c>
      <c r="D153" s="96" t="s">
        <v>51</v>
      </c>
      <c r="E153" s="96" t="s">
        <v>76</v>
      </c>
      <c r="F153" s="96" t="s">
        <v>76</v>
      </c>
      <c r="G153" s="97" t="s">
        <v>76</v>
      </c>
      <c r="H153" s="96">
        <f t="shared" si="8"/>
        <v>0</v>
      </c>
      <c r="I153" s="97">
        <f t="shared" si="9"/>
        <v>0</v>
      </c>
      <c r="J153" s="96" t="str">
        <f>'PROGRAMA LECTURA'!AL16</f>
        <v>EP</v>
      </c>
    </row>
    <row r="154" spans="1:10" x14ac:dyDescent="0.25">
      <c r="A154" s="101" t="s">
        <v>64</v>
      </c>
      <c r="B154" s="96" t="s">
        <v>13</v>
      </c>
      <c r="C154" s="96">
        <v>8</v>
      </c>
      <c r="D154" s="96" t="s">
        <v>52</v>
      </c>
      <c r="E154" s="96"/>
      <c r="F154" s="96"/>
      <c r="G154" s="96"/>
      <c r="H154" s="96">
        <f t="shared" si="8"/>
        <v>0</v>
      </c>
      <c r="I154" s="97">
        <f>H154/3</f>
        <v>0</v>
      </c>
      <c r="J154" s="96">
        <f>'PROGRAMA LECTURA'!AM16</f>
        <v>0</v>
      </c>
    </row>
    <row r="155" spans="1:10" x14ac:dyDescent="0.25">
      <c r="A155" s="104" t="s">
        <v>64</v>
      </c>
      <c r="B155" s="98" t="s">
        <v>13</v>
      </c>
      <c r="C155" s="98">
        <v>8</v>
      </c>
      <c r="D155" s="98" t="s">
        <v>53</v>
      </c>
      <c r="E155" s="98"/>
      <c r="F155" s="98"/>
      <c r="G155" s="98"/>
      <c r="H155" s="98">
        <f t="shared" si="8"/>
        <v>0</v>
      </c>
      <c r="I155" s="99">
        <f>H155/3</f>
        <v>0</v>
      </c>
      <c r="J155" s="100">
        <f>'PROGRAMA LECTURA'!AN16</f>
        <v>0</v>
      </c>
    </row>
    <row r="156" spans="1:10" ht="30" x14ac:dyDescent="0.25">
      <c r="A156" s="101" t="s">
        <v>64</v>
      </c>
      <c r="B156" s="96" t="s">
        <v>13</v>
      </c>
      <c r="C156" s="96">
        <v>8</v>
      </c>
      <c r="D156" s="96" t="s">
        <v>54</v>
      </c>
      <c r="E156" s="96"/>
      <c r="F156" s="96"/>
      <c r="G156" s="97"/>
      <c r="H156" s="96">
        <f t="shared" si="8"/>
        <v>0</v>
      </c>
      <c r="I156" s="97">
        <f t="shared" ref="I156:I175" si="10">H156/3</f>
        <v>0</v>
      </c>
      <c r="J156" s="96">
        <f>'PROGRAMA LECTURA'!AO16</f>
        <v>0</v>
      </c>
    </row>
    <row r="157" spans="1:10" x14ac:dyDescent="0.25">
      <c r="A157" s="101" t="s">
        <v>64</v>
      </c>
      <c r="B157" s="96" t="s">
        <v>14</v>
      </c>
      <c r="C157" s="96">
        <v>9</v>
      </c>
      <c r="D157" s="96" t="s">
        <v>55</v>
      </c>
      <c r="E157" s="96"/>
      <c r="F157" s="96"/>
      <c r="G157" s="97"/>
      <c r="H157" s="96">
        <f t="shared" si="8"/>
        <v>0</v>
      </c>
      <c r="I157" s="97">
        <f t="shared" si="10"/>
        <v>0</v>
      </c>
      <c r="J157" s="96">
        <f>'PROGRAMA LECTURA'!AP16</f>
        <v>0</v>
      </c>
    </row>
    <row r="158" spans="1:10" x14ac:dyDescent="0.25">
      <c r="A158" s="101" t="s">
        <v>64</v>
      </c>
      <c r="B158" s="96" t="s">
        <v>14</v>
      </c>
      <c r="C158" s="96">
        <v>9</v>
      </c>
      <c r="D158" s="96" t="s">
        <v>56</v>
      </c>
      <c r="E158" s="96"/>
      <c r="F158" s="96"/>
      <c r="G158" s="97"/>
      <c r="H158" s="96">
        <f t="shared" si="8"/>
        <v>0</v>
      </c>
      <c r="I158" s="97">
        <f t="shared" si="10"/>
        <v>0</v>
      </c>
      <c r="J158" s="96">
        <f>'PROGRAMA LECTURA'!AQ16</f>
        <v>0</v>
      </c>
    </row>
    <row r="159" spans="1:10" x14ac:dyDescent="0.25">
      <c r="A159" s="101" t="s">
        <v>64</v>
      </c>
      <c r="B159" s="96" t="s">
        <v>15</v>
      </c>
      <c r="C159" s="96">
        <v>10</v>
      </c>
      <c r="D159" s="96" t="s">
        <v>20</v>
      </c>
      <c r="E159" s="96"/>
      <c r="F159" s="96"/>
      <c r="G159" s="97"/>
      <c r="H159" s="96">
        <f t="shared" si="8"/>
        <v>0</v>
      </c>
      <c r="I159" s="97">
        <f t="shared" si="10"/>
        <v>0</v>
      </c>
      <c r="J159" s="96">
        <f>'PROGRAMA LECTURA'!AR16</f>
        <v>0</v>
      </c>
    </row>
    <row r="160" spans="1:10" x14ac:dyDescent="0.25">
      <c r="A160" s="101" t="s">
        <v>64</v>
      </c>
      <c r="B160" s="96" t="s">
        <v>15</v>
      </c>
      <c r="C160" s="96">
        <v>10</v>
      </c>
      <c r="D160" s="96" t="s">
        <v>42</v>
      </c>
      <c r="E160" s="96"/>
      <c r="F160" s="96"/>
      <c r="G160" s="97"/>
      <c r="H160" s="96">
        <f t="shared" si="8"/>
        <v>0</v>
      </c>
      <c r="I160" s="97">
        <f t="shared" si="10"/>
        <v>0</v>
      </c>
      <c r="J160" s="96">
        <f>'PROGRAMA LECTURA'!AS16</f>
        <v>0</v>
      </c>
    </row>
    <row r="161" spans="1:10" ht="30" x14ac:dyDescent="0.25">
      <c r="A161" s="101" t="s">
        <v>64</v>
      </c>
      <c r="B161" s="96" t="s">
        <v>16</v>
      </c>
      <c r="C161" s="96">
        <v>11</v>
      </c>
      <c r="D161" s="96" t="s">
        <v>57</v>
      </c>
      <c r="E161" s="96"/>
      <c r="F161" s="96"/>
      <c r="G161" s="97"/>
      <c r="H161" s="96">
        <f t="shared" si="8"/>
        <v>0</v>
      </c>
      <c r="I161" s="97">
        <f t="shared" si="10"/>
        <v>0</v>
      </c>
      <c r="J161" s="96">
        <f>'PROGRAMA LECTURA'!AT16</f>
        <v>0</v>
      </c>
    </row>
    <row r="162" spans="1:10" x14ac:dyDescent="0.25">
      <c r="A162" s="101" t="s">
        <v>64</v>
      </c>
      <c r="B162" s="96" t="s">
        <v>16</v>
      </c>
      <c r="C162" s="96">
        <v>11</v>
      </c>
      <c r="D162" s="96" t="s">
        <v>39</v>
      </c>
      <c r="E162" s="96"/>
      <c r="F162" s="96"/>
      <c r="G162" s="97"/>
      <c r="H162" s="96">
        <f t="shared" si="8"/>
        <v>0</v>
      </c>
      <c r="I162" s="97">
        <f t="shared" si="10"/>
        <v>0</v>
      </c>
      <c r="J162" s="96">
        <f>'PROGRAMA LECTURA'!AU16</f>
        <v>0</v>
      </c>
    </row>
    <row r="163" spans="1:10" x14ac:dyDescent="0.25">
      <c r="A163" s="101" t="s">
        <v>64</v>
      </c>
      <c r="B163" s="96" t="s">
        <v>17</v>
      </c>
      <c r="C163" s="96">
        <v>12</v>
      </c>
      <c r="D163" s="96" t="s">
        <v>38</v>
      </c>
      <c r="E163" s="96"/>
      <c r="F163" s="96"/>
      <c r="G163" s="97"/>
      <c r="H163" s="96">
        <f t="shared" si="8"/>
        <v>0</v>
      </c>
      <c r="I163" s="97">
        <f t="shared" si="10"/>
        <v>0</v>
      </c>
      <c r="J163" s="96">
        <f>'PROGRAMA LECTURA'!AV16</f>
        <v>0</v>
      </c>
    </row>
    <row r="164" spans="1:10" x14ac:dyDescent="0.25">
      <c r="A164" s="96" t="s">
        <v>65</v>
      </c>
      <c r="B164" s="96" t="s">
        <v>6</v>
      </c>
      <c r="C164" s="96">
        <v>1</v>
      </c>
      <c r="D164" s="96" t="s">
        <v>38</v>
      </c>
      <c r="E164" s="96" t="s">
        <v>74</v>
      </c>
      <c r="F164" s="96" t="s">
        <v>74</v>
      </c>
      <c r="G164" s="97" t="s">
        <v>74</v>
      </c>
      <c r="H164" s="96">
        <f t="shared" si="8"/>
        <v>3</v>
      </c>
      <c r="I164" s="97">
        <f t="shared" si="10"/>
        <v>1</v>
      </c>
      <c r="J164" s="96" t="str">
        <f>'PROGRAMA LECTURA'!V17</f>
        <v>C</v>
      </c>
    </row>
    <row r="165" spans="1:10" x14ac:dyDescent="0.25">
      <c r="A165" s="96" t="s">
        <v>65</v>
      </c>
      <c r="B165" s="96" t="s">
        <v>6</v>
      </c>
      <c r="C165" s="96">
        <v>1</v>
      </c>
      <c r="D165" s="96" t="s">
        <v>39</v>
      </c>
      <c r="E165" s="96" t="s">
        <v>74</v>
      </c>
      <c r="F165" s="96" t="s">
        <v>74</v>
      </c>
      <c r="G165" s="97" t="s">
        <v>74</v>
      </c>
      <c r="H165" s="96">
        <f t="shared" si="8"/>
        <v>3</v>
      </c>
      <c r="I165" s="97">
        <f t="shared" si="10"/>
        <v>1</v>
      </c>
      <c r="J165" s="96" t="str">
        <f>'PROGRAMA LECTURA'!W17</f>
        <v>C</v>
      </c>
    </row>
    <row r="166" spans="1:10" ht="45" x14ac:dyDescent="0.25">
      <c r="A166" s="96" t="s">
        <v>65</v>
      </c>
      <c r="B166" s="96" t="s">
        <v>7</v>
      </c>
      <c r="C166" s="96">
        <v>2</v>
      </c>
      <c r="D166" s="96" t="s">
        <v>40</v>
      </c>
      <c r="E166" s="96" t="s">
        <v>74</v>
      </c>
      <c r="F166" s="96" t="s">
        <v>74</v>
      </c>
      <c r="G166" s="97" t="s">
        <v>74</v>
      </c>
      <c r="H166" s="96">
        <f t="shared" si="8"/>
        <v>3</v>
      </c>
      <c r="I166" s="97">
        <f t="shared" si="10"/>
        <v>1</v>
      </c>
      <c r="J166" s="96" t="str">
        <f>'PROGRAMA LECTURA'!X17</f>
        <v>C</v>
      </c>
    </row>
    <row r="167" spans="1:10" x14ac:dyDescent="0.25">
      <c r="A167" s="96" t="s">
        <v>65</v>
      </c>
      <c r="B167" s="96" t="s">
        <v>7</v>
      </c>
      <c r="C167" s="96">
        <v>2</v>
      </c>
      <c r="D167" s="96" t="s">
        <v>20</v>
      </c>
      <c r="E167" s="96" t="s">
        <v>74</v>
      </c>
      <c r="F167" s="96" t="s">
        <v>74</v>
      </c>
      <c r="G167" s="97" t="s">
        <v>74</v>
      </c>
      <c r="H167" s="96">
        <f t="shared" si="8"/>
        <v>3</v>
      </c>
      <c r="I167" s="97">
        <f t="shared" si="10"/>
        <v>1</v>
      </c>
      <c r="J167" s="96" t="str">
        <f>'PROGRAMA LECTURA'!Y17</f>
        <v>C</v>
      </c>
    </row>
    <row r="168" spans="1:10" x14ac:dyDescent="0.25">
      <c r="A168" s="96" t="s">
        <v>65</v>
      </c>
      <c r="B168" s="96" t="s">
        <v>8</v>
      </c>
      <c r="C168" s="96">
        <v>3</v>
      </c>
      <c r="D168" s="96" t="s">
        <v>41</v>
      </c>
      <c r="E168" s="96" t="s">
        <v>74</v>
      </c>
      <c r="F168" s="96" t="s">
        <v>74</v>
      </c>
      <c r="G168" s="97" t="s">
        <v>74</v>
      </c>
      <c r="H168" s="96">
        <f t="shared" si="8"/>
        <v>3</v>
      </c>
      <c r="I168" s="97">
        <f t="shared" si="10"/>
        <v>1</v>
      </c>
      <c r="J168" s="96" t="str">
        <f>'PROGRAMA LECTURA'!Z17</f>
        <v>C</v>
      </c>
    </row>
    <row r="169" spans="1:10" x14ac:dyDescent="0.25">
      <c r="A169" s="96" t="s">
        <v>65</v>
      </c>
      <c r="B169" s="96" t="s">
        <v>8</v>
      </c>
      <c r="C169" s="96">
        <v>3</v>
      </c>
      <c r="D169" s="96" t="s">
        <v>42</v>
      </c>
      <c r="E169" s="96" t="s">
        <v>74</v>
      </c>
      <c r="F169" s="96" t="s">
        <v>74</v>
      </c>
      <c r="G169" s="97" t="s">
        <v>74</v>
      </c>
      <c r="H169" s="96">
        <f t="shared" si="8"/>
        <v>3</v>
      </c>
      <c r="I169" s="97">
        <f t="shared" si="10"/>
        <v>1</v>
      </c>
      <c r="J169" s="96" t="str">
        <f>'PROGRAMA LECTURA'!AA17</f>
        <v>C</v>
      </c>
    </row>
    <row r="170" spans="1:10" ht="60" x14ac:dyDescent="0.25">
      <c r="A170" s="96" t="s">
        <v>65</v>
      </c>
      <c r="B170" s="96" t="s">
        <v>9</v>
      </c>
      <c r="C170" s="96">
        <v>4</v>
      </c>
      <c r="D170" s="96" t="s">
        <v>43</v>
      </c>
      <c r="E170" s="96" t="s">
        <v>74</v>
      </c>
      <c r="F170" s="96" t="s">
        <v>74</v>
      </c>
      <c r="G170" s="97" t="s">
        <v>74</v>
      </c>
      <c r="H170" s="96">
        <f t="shared" si="8"/>
        <v>3</v>
      </c>
      <c r="I170" s="97">
        <f t="shared" si="10"/>
        <v>1</v>
      </c>
      <c r="J170" s="96" t="str">
        <f>'PROGRAMA LECTURA'!AB17</f>
        <v>C</v>
      </c>
    </row>
    <row r="171" spans="1:10" x14ac:dyDescent="0.25">
      <c r="A171" s="96" t="s">
        <v>65</v>
      </c>
      <c r="B171" s="96" t="s">
        <v>9</v>
      </c>
      <c r="C171" s="96">
        <v>4</v>
      </c>
      <c r="D171" s="96" t="s">
        <v>44</v>
      </c>
      <c r="E171" s="96" t="s">
        <v>74</v>
      </c>
      <c r="F171" s="96" t="s">
        <v>74</v>
      </c>
      <c r="G171" s="97" t="s">
        <v>74</v>
      </c>
      <c r="H171" s="96">
        <f t="shared" si="8"/>
        <v>3</v>
      </c>
      <c r="I171" s="97">
        <f t="shared" si="10"/>
        <v>1</v>
      </c>
      <c r="J171" s="96" t="str">
        <f>'PROGRAMA LECTURA'!AC17</f>
        <v>C</v>
      </c>
    </row>
    <row r="172" spans="1:10" ht="30" x14ac:dyDescent="0.25">
      <c r="A172" s="96" t="s">
        <v>65</v>
      </c>
      <c r="B172" s="96" t="s">
        <v>9</v>
      </c>
      <c r="C172" s="96">
        <v>4</v>
      </c>
      <c r="D172" s="96" t="s">
        <v>45</v>
      </c>
      <c r="E172" s="96" t="s">
        <v>74</v>
      </c>
      <c r="F172" s="96" t="s">
        <v>74</v>
      </c>
      <c r="G172" s="97" t="s">
        <v>74</v>
      </c>
      <c r="H172" s="96">
        <f t="shared" si="8"/>
        <v>3</v>
      </c>
      <c r="I172" s="97">
        <f t="shared" si="10"/>
        <v>1</v>
      </c>
      <c r="J172" s="96" t="str">
        <f>'PROGRAMA LECTURA'!AD17</f>
        <v>C</v>
      </c>
    </row>
    <row r="173" spans="1:10" x14ac:dyDescent="0.25">
      <c r="A173" s="96" t="s">
        <v>65</v>
      </c>
      <c r="B173" s="96" t="s">
        <v>10</v>
      </c>
      <c r="C173" s="96">
        <v>5</v>
      </c>
      <c r="D173" s="96" t="s">
        <v>46</v>
      </c>
      <c r="E173" s="96" t="s">
        <v>74</v>
      </c>
      <c r="F173" s="96" t="s">
        <v>74</v>
      </c>
      <c r="G173" s="97" t="s">
        <v>74</v>
      </c>
      <c r="H173" s="96">
        <f t="shared" si="8"/>
        <v>3</v>
      </c>
      <c r="I173" s="97">
        <f t="shared" si="10"/>
        <v>1</v>
      </c>
      <c r="J173" s="96" t="str">
        <f>'PROGRAMA LECTURA'!AE17</f>
        <v>C</v>
      </c>
    </row>
    <row r="174" spans="1:10" ht="30" x14ac:dyDescent="0.25">
      <c r="A174" s="96" t="s">
        <v>65</v>
      </c>
      <c r="B174" s="96" t="s">
        <v>10</v>
      </c>
      <c r="C174" s="96">
        <v>5</v>
      </c>
      <c r="D174" s="96" t="s">
        <v>47</v>
      </c>
      <c r="E174" s="96" t="s">
        <v>74</v>
      </c>
      <c r="F174" s="96" t="s">
        <v>74</v>
      </c>
      <c r="G174" s="97" t="s">
        <v>74</v>
      </c>
      <c r="H174" s="96">
        <f t="shared" si="8"/>
        <v>3</v>
      </c>
      <c r="I174" s="97">
        <f t="shared" si="10"/>
        <v>1</v>
      </c>
      <c r="J174" s="96" t="str">
        <f>'PROGRAMA LECTURA'!AF17</f>
        <v>C</v>
      </c>
    </row>
    <row r="175" spans="1:10" x14ac:dyDescent="0.25">
      <c r="A175" s="96" t="s">
        <v>65</v>
      </c>
      <c r="B175" s="96" t="s">
        <v>11</v>
      </c>
      <c r="C175" s="96">
        <v>6</v>
      </c>
      <c r="D175" s="96" t="s">
        <v>20</v>
      </c>
      <c r="E175" s="96" t="s">
        <v>74</v>
      </c>
      <c r="F175" s="96" t="s">
        <v>74</v>
      </c>
      <c r="G175" s="97" t="s">
        <v>74</v>
      </c>
      <c r="H175" s="96">
        <f t="shared" si="8"/>
        <v>3</v>
      </c>
      <c r="I175" s="97">
        <f t="shared" si="10"/>
        <v>1</v>
      </c>
      <c r="J175" s="96" t="str">
        <f>'PROGRAMA LECTURA'!AG17</f>
        <v>C</v>
      </c>
    </row>
    <row r="176" spans="1:10" ht="45" x14ac:dyDescent="0.25">
      <c r="A176" s="96" t="s">
        <v>65</v>
      </c>
      <c r="B176" s="96" t="s">
        <v>11</v>
      </c>
      <c r="C176" s="96">
        <v>6</v>
      </c>
      <c r="D176" s="96" t="s">
        <v>48</v>
      </c>
      <c r="E176" s="96" t="s">
        <v>74</v>
      </c>
      <c r="F176" s="96" t="s">
        <v>74</v>
      </c>
      <c r="G176" s="97" t="s">
        <v>74</v>
      </c>
      <c r="H176" s="96">
        <f t="shared" si="8"/>
        <v>3</v>
      </c>
      <c r="I176" s="97">
        <f>H176/3</f>
        <v>1</v>
      </c>
      <c r="J176" s="96" t="str">
        <f>'PROGRAMA LECTURA'!AH17</f>
        <v>C</v>
      </c>
    </row>
    <row r="177" spans="1:10" x14ac:dyDescent="0.25">
      <c r="A177" s="98" t="s">
        <v>65</v>
      </c>
      <c r="B177" s="98" t="s">
        <v>11</v>
      </c>
      <c r="C177" s="98">
        <v>6</v>
      </c>
      <c r="D177" s="98" t="s">
        <v>49</v>
      </c>
      <c r="E177" s="96" t="s">
        <v>75</v>
      </c>
      <c r="F177" s="96" t="s">
        <v>75</v>
      </c>
      <c r="G177" s="97" t="s">
        <v>75</v>
      </c>
      <c r="H177" s="98">
        <f t="shared" si="8"/>
        <v>0</v>
      </c>
      <c r="I177" s="99">
        <f>H177/3</f>
        <v>0</v>
      </c>
      <c r="J177" s="100" t="str">
        <f>'PROGRAMA LECTURA'!AI17</f>
        <v>F</v>
      </c>
    </row>
    <row r="178" spans="1:10" x14ac:dyDescent="0.25">
      <c r="A178" s="96" t="s">
        <v>65</v>
      </c>
      <c r="B178" s="96" t="s">
        <v>12</v>
      </c>
      <c r="C178" s="96">
        <v>7</v>
      </c>
      <c r="D178" s="96" t="s">
        <v>38</v>
      </c>
      <c r="E178" s="96" t="s">
        <v>74</v>
      </c>
      <c r="F178" s="96" t="s">
        <v>74</v>
      </c>
      <c r="G178" s="96" t="s">
        <v>74</v>
      </c>
      <c r="H178" s="96">
        <f t="shared" si="8"/>
        <v>3</v>
      </c>
      <c r="I178" s="97">
        <f t="shared" ref="I178:I197" si="11">H178/3</f>
        <v>1</v>
      </c>
      <c r="J178" s="96" t="str">
        <f>'PROGRAMA LECTURA'!AJ17</f>
        <v>C</v>
      </c>
    </row>
    <row r="179" spans="1:10" ht="60" x14ac:dyDescent="0.25">
      <c r="A179" s="96" t="s">
        <v>65</v>
      </c>
      <c r="B179" s="96" t="s">
        <v>12</v>
      </c>
      <c r="C179" s="96">
        <v>7</v>
      </c>
      <c r="D179" s="96" t="s">
        <v>87</v>
      </c>
      <c r="E179" s="96"/>
      <c r="F179" s="96"/>
      <c r="G179" s="97"/>
      <c r="H179" s="96">
        <f t="shared" si="8"/>
        <v>0</v>
      </c>
      <c r="I179" s="97">
        <f t="shared" si="11"/>
        <v>0</v>
      </c>
      <c r="J179" s="96" t="str">
        <f>'PROGRAMA LECTURA'!AK17</f>
        <v>F</v>
      </c>
    </row>
    <row r="180" spans="1:10" x14ac:dyDescent="0.25">
      <c r="A180" s="96" t="s">
        <v>65</v>
      </c>
      <c r="B180" s="96" t="s">
        <v>12</v>
      </c>
      <c r="C180" s="96">
        <v>7</v>
      </c>
      <c r="D180" s="96" t="s">
        <v>51</v>
      </c>
      <c r="E180" s="96" t="s">
        <v>76</v>
      </c>
      <c r="F180" s="96" t="s">
        <v>76</v>
      </c>
      <c r="G180" s="97" t="s">
        <v>76</v>
      </c>
      <c r="H180" s="96">
        <f t="shared" si="8"/>
        <v>0</v>
      </c>
      <c r="I180" s="97">
        <f t="shared" si="11"/>
        <v>0</v>
      </c>
      <c r="J180" s="96" t="str">
        <f>'PROGRAMA LECTURA'!AL17</f>
        <v>EP</v>
      </c>
    </row>
    <row r="181" spans="1:10" x14ac:dyDescent="0.25">
      <c r="A181" s="96" t="s">
        <v>65</v>
      </c>
      <c r="B181" s="96" t="s">
        <v>13</v>
      </c>
      <c r="C181" s="96">
        <v>8</v>
      </c>
      <c r="D181" s="96" t="s">
        <v>52</v>
      </c>
      <c r="E181" s="96"/>
      <c r="F181" s="96"/>
      <c r="G181" s="97"/>
      <c r="H181" s="96">
        <f t="shared" si="8"/>
        <v>0</v>
      </c>
      <c r="I181" s="97">
        <f t="shared" si="11"/>
        <v>0</v>
      </c>
      <c r="J181" s="96">
        <f>'PROGRAMA LECTURA'!AM17</f>
        <v>0</v>
      </c>
    </row>
    <row r="182" spans="1:10" x14ac:dyDescent="0.25">
      <c r="A182" s="96" t="s">
        <v>65</v>
      </c>
      <c r="B182" s="96" t="s">
        <v>13</v>
      </c>
      <c r="C182" s="96">
        <v>8</v>
      </c>
      <c r="D182" s="96" t="s">
        <v>53</v>
      </c>
      <c r="E182" s="96"/>
      <c r="F182" s="96"/>
      <c r="G182" s="97"/>
      <c r="H182" s="96">
        <f t="shared" si="8"/>
        <v>0</v>
      </c>
      <c r="I182" s="97">
        <f t="shared" si="11"/>
        <v>0</v>
      </c>
      <c r="J182" s="96">
        <f>'PROGRAMA LECTURA'!AN17</f>
        <v>0</v>
      </c>
    </row>
    <row r="183" spans="1:10" ht="30" x14ac:dyDescent="0.25">
      <c r="A183" s="96" t="s">
        <v>65</v>
      </c>
      <c r="B183" s="96" t="s">
        <v>13</v>
      </c>
      <c r="C183" s="96">
        <v>8</v>
      </c>
      <c r="D183" s="96" t="s">
        <v>54</v>
      </c>
      <c r="E183" s="96"/>
      <c r="F183" s="96"/>
      <c r="G183" s="97"/>
      <c r="H183" s="96">
        <f t="shared" si="8"/>
        <v>0</v>
      </c>
      <c r="I183" s="97">
        <f t="shared" si="11"/>
        <v>0</v>
      </c>
      <c r="J183" s="96">
        <f>'PROGRAMA LECTURA'!AO17</f>
        <v>0</v>
      </c>
    </row>
    <row r="184" spans="1:10" x14ac:dyDescent="0.25">
      <c r="A184" s="96" t="s">
        <v>65</v>
      </c>
      <c r="B184" s="96" t="s">
        <v>14</v>
      </c>
      <c r="C184" s="96">
        <v>9</v>
      </c>
      <c r="D184" s="96" t="s">
        <v>55</v>
      </c>
      <c r="E184" s="96"/>
      <c r="F184" s="96"/>
      <c r="G184" s="97"/>
      <c r="H184" s="96">
        <f t="shared" si="8"/>
        <v>0</v>
      </c>
      <c r="I184" s="97">
        <f t="shared" si="11"/>
        <v>0</v>
      </c>
      <c r="J184" s="96">
        <f>'PROGRAMA LECTURA'!AP17</f>
        <v>0</v>
      </c>
    </row>
    <row r="185" spans="1:10" x14ac:dyDescent="0.25">
      <c r="A185" s="96" t="s">
        <v>65</v>
      </c>
      <c r="B185" s="96" t="s">
        <v>14</v>
      </c>
      <c r="C185" s="96">
        <v>9</v>
      </c>
      <c r="D185" s="96" t="s">
        <v>56</v>
      </c>
      <c r="E185" s="96"/>
      <c r="F185" s="96"/>
      <c r="G185" s="97"/>
      <c r="H185" s="96">
        <f t="shared" si="8"/>
        <v>0</v>
      </c>
      <c r="I185" s="97">
        <f t="shared" si="11"/>
        <v>0</v>
      </c>
      <c r="J185" s="96">
        <f>'PROGRAMA LECTURA'!AQ17</f>
        <v>0</v>
      </c>
    </row>
    <row r="186" spans="1:10" x14ac:dyDescent="0.25">
      <c r="A186" s="96" t="s">
        <v>65</v>
      </c>
      <c r="B186" s="96" t="s">
        <v>15</v>
      </c>
      <c r="C186" s="96">
        <v>10</v>
      </c>
      <c r="D186" s="96" t="s">
        <v>20</v>
      </c>
      <c r="E186" s="96"/>
      <c r="F186" s="96"/>
      <c r="G186" s="97"/>
      <c r="H186" s="96">
        <f t="shared" si="8"/>
        <v>0</v>
      </c>
      <c r="I186" s="97">
        <f t="shared" si="11"/>
        <v>0</v>
      </c>
      <c r="J186" s="96">
        <f>'PROGRAMA LECTURA'!AR17</f>
        <v>0</v>
      </c>
    </row>
    <row r="187" spans="1:10" x14ac:dyDescent="0.25">
      <c r="A187" s="96" t="s">
        <v>65</v>
      </c>
      <c r="B187" s="96" t="s">
        <v>15</v>
      </c>
      <c r="C187" s="96">
        <v>10</v>
      </c>
      <c r="D187" s="96" t="s">
        <v>42</v>
      </c>
      <c r="E187" s="96"/>
      <c r="F187" s="96"/>
      <c r="G187" s="97"/>
      <c r="H187" s="96">
        <f t="shared" si="8"/>
        <v>0</v>
      </c>
      <c r="I187" s="97">
        <f t="shared" si="11"/>
        <v>0</v>
      </c>
      <c r="J187" s="96">
        <f>'PROGRAMA LECTURA'!AS17</f>
        <v>0</v>
      </c>
    </row>
    <row r="188" spans="1:10" ht="30" x14ac:dyDescent="0.25">
      <c r="A188" s="96" t="s">
        <v>65</v>
      </c>
      <c r="B188" s="96" t="s">
        <v>16</v>
      </c>
      <c r="C188" s="96">
        <v>11</v>
      </c>
      <c r="D188" s="96" t="s">
        <v>57</v>
      </c>
      <c r="E188" s="96"/>
      <c r="F188" s="96"/>
      <c r="G188" s="97"/>
      <c r="H188" s="96">
        <f t="shared" si="8"/>
        <v>0</v>
      </c>
      <c r="I188" s="97">
        <f t="shared" si="11"/>
        <v>0</v>
      </c>
      <c r="J188" s="96">
        <f>'PROGRAMA LECTURA'!AT17</f>
        <v>0</v>
      </c>
    </row>
    <row r="189" spans="1:10" x14ac:dyDescent="0.25">
      <c r="A189" s="96" t="s">
        <v>65</v>
      </c>
      <c r="B189" s="96" t="s">
        <v>16</v>
      </c>
      <c r="C189" s="96">
        <v>11</v>
      </c>
      <c r="D189" s="96" t="s">
        <v>39</v>
      </c>
      <c r="E189" s="96"/>
      <c r="F189" s="96"/>
      <c r="G189" s="97"/>
      <c r="H189" s="96">
        <f t="shared" si="8"/>
        <v>0</v>
      </c>
      <c r="I189" s="97">
        <f t="shared" si="11"/>
        <v>0</v>
      </c>
      <c r="J189" s="96">
        <f>'PROGRAMA LECTURA'!AU17</f>
        <v>0</v>
      </c>
    </row>
    <row r="190" spans="1:10" x14ac:dyDescent="0.25">
      <c r="A190" s="96" t="s">
        <v>65</v>
      </c>
      <c r="B190" s="96" t="s">
        <v>17</v>
      </c>
      <c r="C190" s="96">
        <v>12</v>
      </c>
      <c r="D190" s="96" t="s">
        <v>38</v>
      </c>
      <c r="E190" s="96"/>
      <c r="F190" s="96"/>
      <c r="G190" s="97"/>
      <c r="H190" s="96">
        <f t="shared" si="8"/>
        <v>0</v>
      </c>
      <c r="I190" s="97">
        <f t="shared" si="11"/>
        <v>0</v>
      </c>
      <c r="J190" s="96">
        <f>'PROGRAMA LECTURA'!AV17</f>
        <v>0</v>
      </c>
    </row>
    <row r="191" spans="1:10" x14ac:dyDescent="0.25">
      <c r="A191" s="101" t="s">
        <v>66</v>
      </c>
      <c r="B191" s="96" t="s">
        <v>6</v>
      </c>
      <c r="C191" s="96">
        <v>1</v>
      </c>
      <c r="D191" s="96" t="s">
        <v>38</v>
      </c>
      <c r="E191" s="96" t="s">
        <v>74</v>
      </c>
      <c r="F191" s="96" t="s">
        <v>74</v>
      </c>
      <c r="G191" s="97" t="s">
        <v>74</v>
      </c>
      <c r="H191" s="96">
        <f t="shared" si="8"/>
        <v>3</v>
      </c>
      <c r="I191" s="97">
        <f t="shared" si="11"/>
        <v>1</v>
      </c>
      <c r="J191" s="96" t="str">
        <f>'PROGRAMA LECTURA'!V18</f>
        <v>C</v>
      </c>
    </row>
    <row r="192" spans="1:10" x14ac:dyDescent="0.25">
      <c r="A192" s="101" t="s">
        <v>66</v>
      </c>
      <c r="B192" s="96" t="s">
        <v>6</v>
      </c>
      <c r="C192" s="96">
        <v>1</v>
      </c>
      <c r="D192" s="96" t="s">
        <v>39</v>
      </c>
      <c r="E192" s="96" t="s">
        <v>74</v>
      </c>
      <c r="F192" s="96" t="s">
        <v>74</v>
      </c>
      <c r="G192" s="97" t="s">
        <v>74</v>
      </c>
      <c r="H192" s="96">
        <f t="shared" si="8"/>
        <v>3</v>
      </c>
      <c r="I192" s="97">
        <f t="shared" si="11"/>
        <v>1</v>
      </c>
      <c r="J192" s="96" t="str">
        <f>'PROGRAMA LECTURA'!W18</f>
        <v>C</v>
      </c>
    </row>
    <row r="193" spans="1:10" ht="45" x14ac:dyDescent="0.25">
      <c r="A193" s="101" t="s">
        <v>66</v>
      </c>
      <c r="B193" s="96" t="s">
        <v>7</v>
      </c>
      <c r="C193" s="96">
        <v>2</v>
      </c>
      <c r="D193" s="96" t="s">
        <v>40</v>
      </c>
      <c r="E193" s="96" t="s">
        <v>74</v>
      </c>
      <c r="F193" s="96" t="s">
        <v>74</v>
      </c>
      <c r="G193" s="97" t="s">
        <v>74</v>
      </c>
      <c r="H193" s="96">
        <f t="shared" si="8"/>
        <v>3</v>
      </c>
      <c r="I193" s="97">
        <f t="shared" si="11"/>
        <v>1</v>
      </c>
      <c r="J193" s="96" t="str">
        <f>'PROGRAMA LECTURA'!X18</f>
        <v>C</v>
      </c>
    </row>
    <row r="194" spans="1:10" x14ac:dyDescent="0.25">
      <c r="A194" s="101" t="s">
        <v>66</v>
      </c>
      <c r="B194" s="96" t="s">
        <v>7</v>
      </c>
      <c r="C194" s="96">
        <v>2</v>
      </c>
      <c r="D194" s="96" t="s">
        <v>20</v>
      </c>
      <c r="E194" s="96" t="s">
        <v>74</v>
      </c>
      <c r="F194" s="96" t="s">
        <v>74</v>
      </c>
      <c r="G194" s="97" t="s">
        <v>74</v>
      </c>
      <c r="H194" s="96">
        <f t="shared" ref="H194:H257" si="12">COUNTIF(E194:G194,"C")</f>
        <v>3</v>
      </c>
      <c r="I194" s="97">
        <f t="shared" si="11"/>
        <v>1</v>
      </c>
      <c r="J194" s="96" t="str">
        <f>'PROGRAMA LECTURA'!Y18</f>
        <v>C</v>
      </c>
    </row>
    <row r="195" spans="1:10" x14ac:dyDescent="0.25">
      <c r="A195" s="101" t="s">
        <v>66</v>
      </c>
      <c r="B195" s="96" t="s">
        <v>8</v>
      </c>
      <c r="C195" s="96">
        <v>3</v>
      </c>
      <c r="D195" s="96" t="s">
        <v>41</v>
      </c>
      <c r="E195" s="96" t="s">
        <v>74</v>
      </c>
      <c r="F195" s="96" t="s">
        <v>74</v>
      </c>
      <c r="G195" s="97" t="s">
        <v>74</v>
      </c>
      <c r="H195" s="96">
        <f t="shared" si="12"/>
        <v>3</v>
      </c>
      <c r="I195" s="97">
        <f t="shared" si="11"/>
        <v>1</v>
      </c>
      <c r="J195" s="96" t="str">
        <f>'PROGRAMA LECTURA'!Z18</f>
        <v>C</v>
      </c>
    </row>
    <row r="196" spans="1:10" x14ac:dyDescent="0.25">
      <c r="A196" s="101" t="s">
        <v>66</v>
      </c>
      <c r="B196" s="96" t="s">
        <v>8</v>
      </c>
      <c r="C196" s="96">
        <v>3</v>
      </c>
      <c r="D196" s="96" t="s">
        <v>42</v>
      </c>
      <c r="E196" s="96" t="s">
        <v>74</v>
      </c>
      <c r="F196" s="96" t="s">
        <v>74</v>
      </c>
      <c r="G196" s="97" t="s">
        <v>74</v>
      </c>
      <c r="H196" s="96">
        <f t="shared" si="12"/>
        <v>3</v>
      </c>
      <c r="I196" s="97">
        <f t="shared" si="11"/>
        <v>1</v>
      </c>
      <c r="J196" s="96" t="str">
        <f>'PROGRAMA LECTURA'!AA18</f>
        <v>C</v>
      </c>
    </row>
    <row r="197" spans="1:10" ht="60" x14ac:dyDescent="0.25">
      <c r="A197" s="101" t="s">
        <v>66</v>
      </c>
      <c r="B197" s="96" t="s">
        <v>9</v>
      </c>
      <c r="C197" s="96">
        <v>4</v>
      </c>
      <c r="D197" s="96" t="s">
        <v>43</v>
      </c>
      <c r="E197" s="96" t="s">
        <v>74</v>
      </c>
      <c r="F197" s="96" t="s">
        <v>74</v>
      </c>
      <c r="G197" s="97" t="s">
        <v>74</v>
      </c>
      <c r="H197" s="96">
        <f t="shared" si="12"/>
        <v>3</v>
      </c>
      <c r="I197" s="97">
        <f t="shared" si="11"/>
        <v>1</v>
      </c>
      <c r="J197" s="96" t="str">
        <f>'PROGRAMA LECTURA'!AB18</f>
        <v>C</v>
      </c>
    </row>
    <row r="198" spans="1:10" x14ac:dyDescent="0.25">
      <c r="A198" s="101" t="s">
        <v>66</v>
      </c>
      <c r="B198" s="96" t="s">
        <v>9</v>
      </c>
      <c r="C198" s="96">
        <v>4</v>
      </c>
      <c r="D198" s="96" t="s">
        <v>44</v>
      </c>
      <c r="E198" s="96" t="s">
        <v>74</v>
      </c>
      <c r="F198" s="96" t="s">
        <v>74</v>
      </c>
      <c r="G198" s="97" t="s">
        <v>74</v>
      </c>
      <c r="H198" s="96">
        <f t="shared" si="12"/>
        <v>3</v>
      </c>
      <c r="I198" s="97">
        <f>H198/3</f>
        <v>1</v>
      </c>
      <c r="J198" s="96" t="str">
        <f>'PROGRAMA LECTURA'!AC18</f>
        <v>C</v>
      </c>
    </row>
    <row r="199" spans="1:10" ht="30" x14ac:dyDescent="0.25">
      <c r="A199" s="104" t="s">
        <v>66</v>
      </c>
      <c r="B199" s="98" t="s">
        <v>9</v>
      </c>
      <c r="C199" s="98">
        <v>4</v>
      </c>
      <c r="D199" s="98" t="s">
        <v>45</v>
      </c>
      <c r="E199" s="96" t="s">
        <v>74</v>
      </c>
      <c r="F199" s="96" t="s">
        <v>74</v>
      </c>
      <c r="G199" s="97" t="s">
        <v>74</v>
      </c>
      <c r="H199" s="98">
        <f t="shared" si="12"/>
        <v>3</v>
      </c>
      <c r="I199" s="99">
        <f>H199/3</f>
        <v>1</v>
      </c>
      <c r="J199" s="100" t="str">
        <f>'PROGRAMA LECTURA'!AD18</f>
        <v>C</v>
      </c>
    </row>
    <row r="200" spans="1:10" x14ac:dyDescent="0.25">
      <c r="A200" s="101" t="s">
        <v>66</v>
      </c>
      <c r="B200" s="96" t="s">
        <v>10</v>
      </c>
      <c r="C200" s="96">
        <v>5</v>
      </c>
      <c r="D200" s="96" t="s">
        <v>46</v>
      </c>
      <c r="E200" s="96" t="s">
        <v>74</v>
      </c>
      <c r="F200" s="96" t="s">
        <v>74</v>
      </c>
      <c r="G200" s="97" t="s">
        <v>74</v>
      </c>
      <c r="H200" s="96">
        <f t="shared" si="12"/>
        <v>3</v>
      </c>
      <c r="I200" s="97">
        <f t="shared" ref="I200:I219" si="13">H200/3</f>
        <v>1</v>
      </c>
      <c r="J200" s="96" t="str">
        <f>'PROGRAMA LECTURA'!AE18</f>
        <v>C</v>
      </c>
    </row>
    <row r="201" spans="1:10" ht="30" x14ac:dyDescent="0.25">
      <c r="A201" s="101" t="s">
        <v>66</v>
      </c>
      <c r="B201" s="96" t="s">
        <v>10</v>
      </c>
      <c r="C201" s="96">
        <v>5</v>
      </c>
      <c r="D201" s="96" t="s">
        <v>47</v>
      </c>
      <c r="E201" s="96" t="s">
        <v>74</v>
      </c>
      <c r="F201" s="96" t="s">
        <v>74</v>
      </c>
      <c r="G201" s="97" t="s">
        <v>74</v>
      </c>
      <c r="H201" s="96">
        <f t="shared" si="12"/>
        <v>3</v>
      </c>
      <c r="I201" s="97">
        <f t="shared" si="13"/>
        <v>1</v>
      </c>
      <c r="J201" s="96" t="str">
        <f>'PROGRAMA LECTURA'!AF18</f>
        <v>C</v>
      </c>
    </row>
    <row r="202" spans="1:10" x14ac:dyDescent="0.25">
      <c r="A202" s="101" t="s">
        <v>66</v>
      </c>
      <c r="B202" s="96" t="s">
        <v>11</v>
      </c>
      <c r="C202" s="96">
        <v>6</v>
      </c>
      <c r="D202" s="96" t="s">
        <v>20</v>
      </c>
      <c r="E202" s="96" t="s">
        <v>74</v>
      </c>
      <c r="F202" s="96" t="s">
        <v>74</v>
      </c>
      <c r="G202" s="97" t="s">
        <v>74</v>
      </c>
      <c r="H202" s="96">
        <f t="shared" si="12"/>
        <v>3</v>
      </c>
      <c r="I202" s="97">
        <f t="shared" si="13"/>
        <v>1</v>
      </c>
      <c r="J202" s="96" t="str">
        <f>'PROGRAMA LECTURA'!AG18</f>
        <v>C</v>
      </c>
    </row>
    <row r="203" spans="1:10" ht="45" x14ac:dyDescent="0.25">
      <c r="A203" s="101" t="s">
        <v>66</v>
      </c>
      <c r="B203" s="96" t="s">
        <v>11</v>
      </c>
      <c r="C203" s="96">
        <v>6</v>
      </c>
      <c r="D203" s="96" t="s">
        <v>48</v>
      </c>
      <c r="E203" s="96" t="s">
        <v>74</v>
      </c>
      <c r="F203" s="96" t="s">
        <v>74</v>
      </c>
      <c r="G203" s="97" t="s">
        <v>74</v>
      </c>
      <c r="H203" s="96">
        <f t="shared" si="12"/>
        <v>3</v>
      </c>
      <c r="I203" s="97">
        <f t="shared" si="13"/>
        <v>1</v>
      </c>
      <c r="J203" s="96" t="str">
        <f>'PROGRAMA LECTURA'!AH18</f>
        <v>C</v>
      </c>
    </row>
    <row r="204" spans="1:10" x14ac:dyDescent="0.25">
      <c r="A204" s="101" t="s">
        <v>66</v>
      </c>
      <c r="B204" s="96" t="s">
        <v>11</v>
      </c>
      <c r="C204" s="96">
        <v>6</v>
      </c>
      <c r="D204" s="96" t="s">
        <v>49</v>
      </c>
      <c r="E204" s="96" t="s">
        <v>75</v>
      </c>
      <c r="F204" s="96" t="s">
        <v>75</v>
      </c>
      <c r="G204" s="97" t="s">
        <v>75</v>
      </c>
      <c r="H204" s="96">
        <f t="shared" si="12"/>
        <v>0</v>
      </c>
      <c r="I204" s="97">
        <f t="shared" si="13"/>
        <v>0</v>
      </c>
      <c r="J204" s="96" t="str">
        <f>'PROGRAMA LECTURA'!AI18</f>
        <v>F</v>
      </c>
    </row>
    <row r="205" spans="1:10" x14ac:dyDescent="0.25">
      <c r="A205" s="101" t="s">
        <v>66</v>
      </c>
      <c r="B205" s="96" t="s">
        <v>12</v>
      </c>
      <c r="C205" s="96">
        <v>7</v>
      </c>
      <c r="D205" s="96" t="s">
        <v>38</v>
      </c>
      <c r="E205" s="96" t="s">
        <v>74</v>
      </c>
      <c r="F205" s="96" t="s">
        <v>74</v>
      </c>
      <c r="G205" s="96" t="s">
        <v>74</v>
      </c>
      <c r="H205" s="96">
        <f t="shared" si="12"/>
        <v>3</v>
      </c>
      <c r="I205" s="97">
        <f t="shared" si="13"/>
        <v>1</v>
      </c>
      <c r="J205" s="96" t="str">
        <f>'PROGRAMA LECTURA'!AJ18</f>
        <v>C</v>
      </c>
    </row>
    <row r="206" spans="1:10" ht="60" x14ac:dyDescent="0.25">
      <c r="A206" s="101" t="s">
        <v>66</v>
      </c>
      <c r="B206" s="96" t="s">
        <v>12</v>
      </c>
      <c r="C206" s="96">
        <v>7</v>
      </c>
      <c r="D206" s="96" t="s">
        <v>87</v>
      </c>
      <c r="E206" s="96"/>
      <c r="F206" s="96"/>
      <c r="G206" s="97"/>
      <c r="H206" s="96">
        <f t="shared" si="12"/>
        <v>0</v>
      </c>
      <c r="I206" s="97">
        <f t="shared" si="13"/>
        <v>0</v>
      </c>
      <c r="J206" s="96" t="str">
        <f>'PROGRAMA LECTURA'!AK18</f>
        <v>F</v>
      </c>
    </row>
    <row r="207" spans="1:10" x14ac:dyDescent="0.25">
      <c r="A207" s="101" t="s">
        <v>66</v>
      </c>
      <c r="B207" s="96" t="s">
        <v>12</v>
      </c>
      <c r="C207" s="96">
        <v>7</v>
      </c>
      <c r="D207" s="96" t="s">
        <v>51</v>
      </c>
      <c r="E207" s="96" t="s">
        <v>76</v>
      </c>
      <c r="F207" s="96" t="s">
        <v>76</v>
      </c>
      <c r="G207" s="97" t="s">
        <v>76</v>
      </c>
      <c r="H207" s="96">
        <f t="shared" si="12"/>
        <v>0</v>
      </c>
      <c r="I207" s="97">
        <f t="shared" si="13"/>
        <v>0</v>
      </c>
      <c r="J207" s="96" t="str">
        <f>'PROGRAMA LECTURA'!AL18</f>
        <v>EP</v>
      </c>
    </row>
    <row r="208" spans="1:10" x14ac:dyDescent="0.25">
      <c r="A208" s="101" t="s">
        <v>66</v>
      </c>
      <c r="B208" s="96" t="s">
        <v>13</v>
      </c>
      <c r="C208" s="96">
        <v>8</v>
      </c>
      <c r="D208" s="96" t="s">
        <v>52</v>
      </c>
      <c r="E208" s="96"/>
      <c r="F208" s="96"/>
      <c r="G208" s="97"/>
      <c r="H208" s="96">
        <f t="shared" si="12"/>
        <v>0</v>
      </c>
      <c r="I208" s="97">
        <f t="shared" si="13"/>
        <v>0</v>
      </c>
      <c r="J208" s="96">
        <f>'PROGRAMA LECTURA'!AM18</f>
        <v>0</v>
      </c>
    </row>
    <row r="209" spans="1:10" x14ac:dyDescent="0.25">
      <c r="A209" s="101" t="s">
        <v>66</v>
      </c>
      <c r="B209" s="96" t="s">
        <v>13</v>
      </c>
      <c r="C209" s="96">
        <v>8</v>
      </c>
      <c r="D209" s="96" t="s">
        <v>53</v>
      </c>
      <c r="E209" s="96"/>
      <c r="F209" s="96"/>
      <c r="G209" s="97"/>
      <c r="H209" s="96">
        <f t="shared" si="12"/>
        <v>0</v>
      </c>
      <c r="I209" s="97">
        <f t="shared" si="13"/>
        <v>0</v>
      </c>
      <c r="J209" s="96">
        <f>'PROGRAMA LECTURA'!AN18</f>
        <v>0</v>
      </c>
    </row>
    <row r="210" spans="1:10" ht="30" x14ac:dyDescent="0.25">
      <c r="A210" s="101" t="s">
        <v>66</v>
      </c>
      <c r="B210" s="96" t="s">
        <v>13</v>
      </c>
      <c r="C210" s="96">
        <v>8</v>
      </c>
      <c r="D210" s="96" t="s">
        <v>54</v>
      </c>
      <c r="E210" s="96"/>
      <c r="F210" s="96"/>
      <c r="G210" s="97"/>
      <c r="H210" s="96">
        <f t="shared" si="12"/>
        <v>0</v>
      </c>
      <c r="I210" s="97">
        <f t="shared" si="13"/>
        <v>0</v>
      </c>
      <c r="J210" s="96">
        <f>'PROGRAMA LECTURA'!AO18</f>
        <v>0</v>
      </c>
    </row>
    <row r="211" spans="1:10" x14ac:dyDescent="0.25">
      <c r="A211" s="101" t="s">
        <v>66</v>
      </c>
      <c r="B211" s="96" t="s">
        <v>14</v>
      </c>
      <c r="C211" s="96">
        <v>9</v>
      </c>
      <c r="D211" s="96" t="s">
        <v>55</v>
      </c>
      <c r="E211" s="96"/>
      <c r="F211" s="96"/>
      <c r="G211" s="97"/>
      <c r="H211" s="96">
        <f t="shared" si="12"/>
        <v>0</v>
      </c>
      <c r="I211" s="97">
        <f t="shared" si="13"/>
        <v>0</v>
      </c>
      <c r="J211" s="96">
        <f>'PROGRAMA LECTURA'!AP18</f>
        <v>0</v>
      </c>
    </row>
    <row r="212" spans="1:10" x14ac:dyDescent="0.25">
      <c r="A212" s="101" t="s">
        <v>66</v>
      </c>
      <c r="B212" s="96" t="s">
        <v>14</v>
      </c>
      <c r="C212" s="96">
        <v>9</v>
      </c>
      <c r="D212" s="96" t="s">
        <v>56</v>
      </c>
      <c r="E212" s="96"/>
      <c r="F212" s="96"/>
      <c r="G212" s="97"/>
      <c r="H212" s="96">
        <f t="shared" si="12"/>
        <v>0</v>
      </c>
      <c r="I212" s="97">
        <f t="shared" si="13"/>
        <v>0</v>
      </c>
      <c r="J212" s="96">
        <f>'PROGRAMA LECTURA'!AQ18</f>
        <v>0</v>
      </c>
    </row>
    <row r="213" spans="1:10" x14ac:dyDescent="0.25">
      <c r="A213" s="101" t="s">
        <v>66</v>
      </c>
      <c r="B213" s="96" t="s">
        <v>15</v>
      </c>
      <c r="C213" s="96">
        <v>10</v>
      </c>
      <c r="D213" s="96" t="s">
        <v>20</v>
      </c>
      <c r="E213" s="96"/>
      <c r="F213" s="96"/>
      <c r="G213" s="97"/>
      <c r="H213" s="96">
        <f t="shared" si="12"/>
        <v>0</v>
      </c>
      <c r="I213" s="97">
        <f t="shared" si="13"/>
        <v>0</v>
      </c>
      <c r="J213" s="96">
        <f>'PROGRAMA LECTURA'!AR18</f>
        <v>0</v>
      </c>
    </row>
    <row r="214" spans="1:10" x14ac:dyDescent="0.25">
      <c r="A214" s="101" t="s">
        <v>66</v>
      </c>
      <c r="B214" s="96" t="s">
        <v>15</v>
      </c>
      <c r="C214" s="96">
        <v>10</v>
      </c>
      <c r="D214" s="96" t="s">
        <v>42</v>
      </c>
      <c r="E214" s="96"/>
      <c r="F214" s="96"/>
      <c r="G214" s="97"/>
      <c r="H214" s="96">
        <f t="shared" si="12"/>
        <v>0</v>
      </c>
      <c r="I214" s="97">
        <f t="shared" si="13"/>
        <v>0</v>
      </c>
      <c r="J214" s="96">
        <f>'PROGRAMA LECTURA'!AS18</f>
        <v>0</v>
      </c>
    </row>
    <row r="215" spans="1:10" ht="30" x14ac:dyDescent="0.25">
      <c r="A215" s="101" t="s">
        <v>66</v>
      </c>
      <c r="B215" s="96" t="s">
        <v>16</v>
      </c>
      <c r="C215" s="96">
        <v>11</v>
      </c>
      <c r="D215" s="96" t="s">
        <v>57</v>
      </c>
      <c r="E215" s="96"/>
      <c r="F215" s="96"/>
      <c r="G215" s="97"/>
      <c r="H215" s="96">
        <f t="shared" si="12"/>
        <v>0</v>
      </c>
      <c r="I215" s="97">
        <f t="shared" si="13"/>
        <v>0</v>
      </c>
      <c r="J215" s="96">
        <f>'PROGRAMA LECTURA'!AT18</f>
        <v>0</v>
      </c>
    </row>
    <row r="216" spans="1:10" x14ac:dyDescent="0.25">
      <c r="A216" s="101" t="s">
        <v>66</v>
      </c>
      <c r="B216" s="96" t="s">
        <v>16</v>
      </c>
      <c r="C216" s="96">
        <v>11</v>
      </c>
      <c r="D216" s="96" t="s">
        <v>39</v>
      </c>
      <c r="E216" s="96"/>
      <c r="F216" s="96"/>
      <c r="G216" s="97"/>
      <c r="H216" s="96">
        <f t="shared" si="12"/>
        <v>0</v>
      </c>
      <c r="I216" s="97">
        <f t="shared" si="13"/>
        <v>0</v>
      </c>
      <c r="J216" s="96">
        <f>'PROGRAMA LECTURA'!AU18</f>
        <v>0</v>
      </c>
    </row>
    <row r="217" spans="1:10" x14ac:dyDescent="0.25">
      <c r="A217" s="101" t="s">
        <v>66</v>
      </c>
      <c r="B217" s="96" t="s">
        <v>17</v>
      </c>
      <c r="C217" s="96">
        <v>12</v>
      </c>
      <c r="D217" s="96" t="s">
        <v>38</v>
      </c>
      <c r="E217" s="96"/>
      <c r="F217" s="96"/>
      <c r="G217" s="97"/>
      <c r="H217" s="96">
        <f t="shared" si="12"/>
        <v>0</v>
      </c>
      <c r="I217" s="97">
        <f t="shared" si="13"/>
        <v>0</v>
      </c>
      <c r="J217" s="96">
        <f>'PROGRAMA LECTURA'!AV18</f>
        <v>0</v>
      </c>
    </row>
    <row r="218" spans="1:10" x14ac:dyDescent="0.25">
      <c r="A218" s="96" t="s">
        <v>67</v>
      </c>
      <c r="B218" s="96" t="s">
        <v>6</v>
      </c>
      <c r="C218" s="96">
        <v>1</v>
      </c>
      <c r="D218" s="96" t="s">
        <v>38</v>
      </c>
      <c r="E218" s="96" t="s">
        <v>74</v>
      </c>
      <c r="F218" s="96" t="s">
        <v>74</v>
      </c>
      <c r="G218" s="97" t="s">
        <v>74</v>
      </c>
      <c r="H218" s="96">
        <f t="shared" si="12"/>
        <v>3</v>
      </c>
      <c r="I218" s="97">
        <f t="shared" si="13"/>
        <v>1</v>
      </c>
      <c r="J218" s="96" t="str">
        <f>'PROGRAMA LECTURA'!V19</f>
        <v>C</v>
      </c>
    </row>
    <row r="219" spans="1:10" x14ac:dyDescent="0.25">
      <c r="A219" s="96" t="s">
        <v>67</v>
      </c>
      <c r="B219" s="96" t="s">
        <v>6</v>
      </c>
      <c r="C219" s="96">
        <v>1</v>
      </c>
      <c r="D219" s="96" t="s">
        <v>39</v>
      </c>
      <c r="E219" s="96" t="s">
        <v>74</v>
      </c>
      <c r="F219" s="96" t="s">
        <v>74</v>
      </c>
      <c r="G219" s="97" t="s">
        <v>74</v>
      </c>
      <c r="H219" s="96">
        <f t="shared" si="12"/>
        <v>3</v>
      </c>
      <c r="I219" s="97">
        <f t="shared" si="13"/>
        <v>1</v>
      </c>
      <c r="J219" s="96" t="str">
        <f>'PROGRAMA LECTURA'!W19</f>
        <v>C</v>
      </c>
    </row>
    <row r="220" spans="1:10" ht="45" x14ac:dyDescent="0.25">
      <c r="A220" s="96" t="s">
        <v>67</v>
      </c>
      <c r="B220" s="96" t="s">
        <v>7</v>
      </c>
      <c r="C220" s="96">
        <v>2</v>
      </c>
      <c r="D220" s="96" t="s">
        <v>40</v>
      </c>
      <c r="E220" s="96" t="s">
        <v>74</v>
      </c>
      <c r="F220" s="96" t="s">
        <v>74</v>
      </c>
      <c r="G220" s="97" t="s">
        <v>74</v>
      </c>
      <c r="H220" s="96">
        <f t="shared" si="12"/>
        <v>3</v>
      </c>
      <c r="I220" s="97">
        <f>H220/3</f>
        <v>1</v>
      </c>
      <c r="J220" s="96" t="str">
        <f>'PROGRAMA LECTURA'!X19</f>
        <v>C</v>
      </c>
    </row>
    <row r="221" spans="1:10" x14ac:dyDescent="0.25">
      <c r="A221" s="98" t="s">
        <v>67</v>
      </c>
      <c r="B221" s="98" t="s">
        <v>7</v>
      </c>
      <c r="C221" s="98">
        <v>2</v>
      </c>
      <c r="D221" s="98" t="s">
        <v>20</v>
      </c>
      <c r="E221" s="96" t="s">
        <v>74</v>
      </c>
      <c r="F221" s="96" t="s">
        <v>74</v>
      </c>
      <c r="G221" s="97" t="s">
        <v>74</v>
      </c>
      <c r="H221" s="98">
        <f t="shared" si="12"/>
        <v>3</v>
      </c>
      <c r="I221" s="99">
        <f>H221/3</f>
        <v>1</v>
      </c>
      <c r="J221" s="100" t="str">
        <f>'PROGRAMA LECTURA'!Y19</f>
        <v>C</v>
      </c>
    </row>
    <row r="222" spans="1:10" x14ac:dyDescent="0.25">
      <c r="A222" s="96" t="s">
        <v>67</v>
      </c>
      <c r="B222" s="96" t="s">
        <v>8</v>
      </c>
      <c r="C222" s="96">
        <v>3</v>
      </c>
      <c r="D222" s="96" t="s">
        <v>41</v>
      </c>
      <c r="E222" s="96" t="s">
        <v>74</v>
      </c>
      <c r="F222" s="96" t="s">
        <v>74</v>
      </c>
      <c r="G222" s="97" t="s">
        <v>74</v>
      </c>
      <c r="H222" s="96">
        <f t="shared" si="12"/>
        <v>3</v>
      </c>
      <c r="I222" s="97">
        <f t="shared" ref="I222:I241" si="14">H222/3</f>
        <v>1</v>
      </c>
      <c r="J222" s="96" t="str">
        <f>'PROGRAMA LECTURA'!Z19</f>
        <v>C</v>
      </c>
    </row>
    <row r="223" spans="1:10" x14ac:dyDescent="0.25">
      <c r="A223" s="96" t="s">
        <v>67</v>
      </c>
      <c r="B223" s="96" t="s">
        <v>8</v>
      </c>
      <c r="C223" s="96">
        <v>3</v>
      </c>
      <c r="D223" s="96" t="s">
        <v>42</v>
      </c>
      <c r="E223" s="96" t="s">
        <v>74</v>
      </c>
      <c r="F223" s="96" t="s">
        <v>74</v>
      </c>
      <c r="G223" s="97" t="s">
        <v>74</v>
      </c>
      <c r="H223" s="96">
        <f t="shared" si="12"/>
        <v>3</v>
      </c>
      <c r="I223" s="97">
        <f t="shared" si="14"/>
        <v>1</v>
      </c>
      <c r="J223" s="96" t="str">
        <f>'PROGRAMA LECTURA'!AA19</f>
        <v>C</v>
      </c>
    </row>
    <row r="224" spans="1:10" ht="60" x14ac:dyDescent="0.25">
      <c r="A224" s="96" t="s">
        <v>67</v>
      </c>
      <c r="B224" s="96" t="s">
        <v>9</v>
      </c>
      <c r="C224" s="96">
        <v>4</v>
      </c>
      <c r="D224" s="96" t="s">
        <v>43</v>
      </c>
      <c r="E224" s="96" t="s">
        <v>74</v>
      </c>
      <c r="F224" s="96" t="s">
        <v>74</v>
      </c>
      <c r="G224" s="97" t="s">
        <v>74</v>
      </c>
      <c r="H224" s="96">
        <f t="shared" si="12"/>
        <v>3</v>
      </c>
      <c r="I224" s="97">
        <f t="shared" si="14"/>
        <v>1</v>
      </c>
      <c r="J224" s="96" t="str">
        <f>'PROGRAMA LECTURA'!AB19</f>
        <v>C</v>
      </c>
    </row>
    <row r="225" spans="1:10" x14ac:dyDescent="0.25">
      <c r="A225" s="96" t="s">
        <v>67</v>
      </c>
      <c r="B225" s="96" t="s">
        <v>9</v>
      </c>
      <c r="C225" s="96">
        <v>4</v>
      </c>
      <c r="D225" s="96" t="s">
        <v>44</v>
      </c>
      <c r="E225" s="96" t="s">
        <v>74</v>
      </c>
      <c r="F225" s="96" t="s">
        <v>74</v>
      </c>
      <c r="G225" s="97" t="s">
        <v>74</v>
      </c>
      <c r="H225" s="96">
        <f t="shared" si="12"/>
        <v>3</v>
      </c>
      <c r="I225" s="97">
        <f t="shared" si="14"/>
        <v>1</v>
      </c>
      <c r="J225" s="96" t="str">
        <f>'PROGRAMA LECTURA'!AC19</f>
        <v>C</v>
      </c>
    </row>
    <row r="226" spans="1:10" ht="30" x14ac:dyDescent="0.25">
      <c r="A226" s="96" t="s">
        <v>67</v>
      </c>
      <c r="B226" s="96" t="s">
        <v>9</v>
      </c>
      <c r="C226" s="96">
        <v>4</v>
      </c>
      <c r="D226" s="96" t="s">
        <v>45</v>
      </c>
      <c r="E226" s="96" t="s">
        <v>74</v>
      </c>
      <c r="F226" s="96" t="s">
        <v>74</v>
      </c>
      <c r="G226" s="97" t="s">
        <v>74</v>
      </c>
      <c r="H226" s="96">
        <f t="shared" si="12"/>
        <v>3</v>
      </c>
      <c r="I226" s="97">
        <f t="shared" si="14"/>
        <v>1</v>
      </c>
      <c r="J226" s="96" t="str">
        <f>'PROGRAMA LECTURA'!AD19</f>
        <v>C</v>
      </c>
    </row>
    <row r="227" spans="1:10" x14ac:dyDescent="0.25">
      <c r="A227" s="96" t="s">
        <v>67</v>
      </c>
      <c r="B227" s="96" t="s">
        <v>10</v>
      </c>
      <c r="C227" s="96">
        <v>5</v>
      </c>
      <c r="D227" s="96" t="s">
        <v>46</v>
      </c>
      <c r="E227" s="96" t="s">
        <v>74</v>
      </c>
      <c r="F227" s="96" t="s">
        <v>74</v>
      </c>
      <c r="G227" s="97" t="s">
        <v>74</v>
      </c>
      <c r="H227" s="96">
        <f t="shared" si="12"/>
        <v>3</v>
      </c>
      <c r="I227" s="97">
        <f t="shared" si="14"/>
        <v>1</v>
      </c>
      <c r="J227" s="96" t="str">
        <f>'PROGRAMA LECTURA'!AE19</f>
        <v>C</v>
      </c>
    </row>
    <row r="228" spans="1:10" ht="30" x14ac:dyDescent="0.25">
      <c r="A228" s="96" t="s">
        <v>67</v>
      </c>
      <c r="B228" s="96" t="s">
        <v>10</v>
      </c>
      <c r="C228" s="96">
        <v>5</v>
      </c>
      <c r="D228" s="96" t="s">
        <v>47</v>
      </c>
      <c r="E228" s="96" t="s">
        <v>74</v>
      </c>
      <c r="F228" s="96" t="s">
        <v>74</v>
      </c>
      <c r="G228" s="97" t="s">
        <v>74</v>
      </c>
      <c r="H228" s="96">
        <f t="shared" si="12"/>
        <v>3</v>
      </c>
      <c r="I228" s="97">
        <f t="shared" si="14"/>
        <v>1</v>
      </c>
      <c r="J228" s="96" t="str">
        <f>'PROGRAMA LECTURA'!AF19</f>
        <v>C</v>
      </c>
    </row>
    <row r="229" spans="1:10" x14ac:dyDescent="0.25">
      <c r="A229" s="96" t="s">
        <v>67</v>
      </c>
      <c r="B229" s="96" t="s">
        <v>11</v>
      </c>
      <c r="C229" s="96">
        <v>6</v>
      </c>
      <c r="D229" s="96" t="s">
        <v>20</v>
      </c>
      <c r="E229" s="96" t="s">
        <v>74</v>
      </c>
      <c r="F229" s="96" t="s">
        <v>74</v>
      </c>
      <c r="G229" s="97" t="s">
        <v>74</v>
      </c>
      <c r="H229" s="96">
        <f t="shared" si="12"/>
        <v>3</v>
      </c>
      <c r="I229" s="97">
        <f t="shared" si="14"/>
        <v>1</v>
      </c>
      <c r="J229" s="96" t="str">
        <f>'PROGRAMA LECTURA'!AG19</f>
        <v>C</v>
      </c>
    </row>
    <row r="230" spans="1:10" ht="45" x14ac:dyDescent="0.25">
      <c r="A230" s="96" t="s">
        <v>67</v>
      </c>
      <c r="B230" s="96" t="s">
        <v>11</v>
      </c>
      <c r="C230" s="96">
        <v>6</v>
      </c>
      <c r="D230" s="96" t="s">
        <v>48</v>
      </c>
      <c r="E230" s="96" t="s">
        <v>74</v>
      </c>
      <c r="F230" s="96" t="s">
        <v>74</v>
      </c>
      <c r="G230" s="97" t="s">
        <v>74</v>
      </c>
      <c r="H230" s="96">
        <f t="shared" si="12"/>
        <v>3</v>
      </c>
      <c r="I230" s="97">
        <f t="shared" si="14"/>
        <v>1</v>
      </c>
      <c r="J230" s="96" t="str">
        <f>'PROGRAMA LECTURA'!AH19</f>
        <v>C</v>
      </c>
    </row>
    <row r="231" spans="1:10" x14ac:dyDescent="0.25">
      <c r="A231" s="96" t="s">
        <v>67</v>
      </c>
      <c r="B231" s="96" t="s">
        <v>11</v>
      </c>
      <c r="C231" s="96">
        <v>6</v>
      </c>
      <c r="D231" s="96" t="s">
        <v>49</v>
      </c>
      <c r="E231" s="96" t="s">
        <v>75</v>
      </c>
      <c r="F231" s="96" t="s">
        <v>75</v>
      </c>
      <c r="G231" s="97" t="s">
        <v>75</v>
      </c>
      <c r="H231" s="96">
        <f t="shared" si="12"/>
        <v>0</v>
      </c>
      <c r="I231" s="97">
        <f t="shared" si="14"/>
        <v>0</v>
      </c>
      <c r="J231" s="96" t="str">
        <f>'PROGRAMA LECTURA'!AI19</f>
        <v>F</v>
      </c>
    </row>
    <row r="232" spans="1:10" x14ac:dyDescent="0.25">
      <c r="A232" s="96" t="s">
        <v>67</v>
      </c>
      <c r="B232" s="96" t="s">
        <v>12</v>
      </c>
      <c r="C232" s="96">
        <v>7</v>
      </c>
      <c r="D232" s="96" t="s">
        <v>38</v>
      </c>
      <c r="E232" s="96" t="s">
        <v>74</v>
      </c>
      <c r="F232" s="96" t="s">
        <v>74</v>
      </c>
      <c r="G232" s="96" t="s">
        <v>74</v>
      </c>
      <c r="H232" s="96">
        <f t="shared" si="12"/>
        <v>3</v>
      </c>
      <c r="I232" s="97">
        <f t="shared" si="14"/>
        <v>1</v>
      </c>
      <c r="J232" s="96" t="str">
        <f>'PROGRAMA LECTURA'!AJ19</f>
        <v>C</v>
      </c>
    </row>
    <row r="233" spans="1:10" ht="60" x14ac:dyDescent="0.25">
      <c r="A233" s="96" t="s">
        <v>67</v>
      </c>
      <c r="B233" s="96" t="s">
        <v>12</v>
      </c>
      <c r="C233" s="96">
        <v>7</v>
      </c>
      <c r="D233" s="96" t="s">
        <v>87</v>
      </c>
      <c r="E233" s="96"/>
      <c r="F233" s="96"/>
      <c r="G233" s="97"/>
      <c r="H233" s="96">
        <f t="shared" si="12"/>
        <v>0</v>
      </c>
      <c r="I233" s="97">
        <f t="shared" si="14"/>
        <v>0</v>
      </c>
      <c r="J233" s="96" t="str">
        <f>'PROGRAMA LECTURA'!AK19</f>
        <v>F</v>
      </c>
    </row>
    <row r="234" spans="1:10" x14ac:dyDescent="0.25">
      <c r="A234" s="96" t="s">
        <v>67</v>
      </c>
      <c r="B234" s="96" t="s">
        <v>12</v>
      </c>
      <c r="C234" s="96">
        <v>7</v>
      </c>
      <c r="D234" s="96" t="s">
        <v>51</v>
      </c>
      <c r="E234" s="96" t="s">
        <v>76</v>
      </c>
      <c r="F234" s="96" t="s">
        <v>76</v>
      </c>
      <c r="G234" s="97" t="s">
        <v>76</v>
      </c>
      <c r="H234" s="96">
        <f t="shared" si="12"/>
        <v>0</v>
      </c>
      <c r="I234" s="97">
        <f t="shared" si="14"/>
        <v>0</v>
      </c>
      <c r="J234" s="96" t="str">
        <f>'PROGRAMA LECTURA'!AL19</f>
        <v>EP</v>
      </c>
    </row>
    <row r="235" spans="1:10" x14ac:dyDescent="0.25">
      <c r="A235" s="96" t="s">
        <v>67</v>
      </c>
      <c r="B235" s="96" t="s">
        <v>13</v>
      </c>
      <c r="C235" s="96">
        <v>8</v>
      </c>
      <c r="D235" s="96" t="s">
        <v>52</v>
      </c>
      <c r="E235" s="96"/>
      <c r="F235" s="96"/>
      <c r="G235" s="97"/>
      <c r="H235" s="96">
        <f t="shared" si="12"/>
        <v>0</v>
      </c>
      <c r="I235" s="97">
        <f t="shared" si="14"/>
        <v>0</v>
      </c>
      <c r="J235" s="96">
        <f>'PROGRAMA LECTURA'!AM19</f>
        <v>0</v>
      </c>
    </row>
    <row r="236" spans="1:10" x14ac:dyDescent="0.25">
      <c r="A236" s="96" t="s">
        <v>67</v>
      </c>
      <c r="B236" s="96" t="s">
        <v>13</v>
      </c>
      <c r="C236" s="96">
        <v>8</v>
      </c>
      <c r="D236" s="96" t="s">
        <v>53</v>
      </c>
      <c r="E236" s="96"/>
      <c r="F236" s="96"/>
      <c r="G236" s="97"/>
      <c r="H236" s="96">
        <f t="shared" si="12"/>
        <v>0</v>
      </c>
      <c r="I236" s="97">
        <f t="shared" si="14"/>
        <v>0</v>
      </c>
      <c r="J236" s="96">
        <f>'PROGRAMA LECTURA'!AN19</f>
        <v>0</v>
      </c>
    </row>
    <row r="237" spans="1:10" ht="30" x14ac:dyDescent="0.25">
      <c r="A237" s="96" t="s">
        <v>67</v>
      </c>
      <c r="B237" s="96" t="s">
        <v>13</v>
      </c>
      <c r="C237" s="96">
        <v>8</v>
      </c>
      <c r="D237" s="96" t="s">
        <v>54</v>
      </c>
      <c r="E237" s="96"/>
      <c r="F237" s="96"/>
      <c r="G237" s="97"/>
      <c r="H237" s="96">
        <f t="shared" si="12"/>
        <v>0</v>
      </c>
      <c r="I237" s="97">
        <f t="shared" si="14"/>
        <v>0</v>
      </c>
      <c r="J237" s="96">
        <f>'PROGRAMA LECTURA'!AO19</f>
        <v>0</v>
      </c>
    </row>
    <row r="238" spans="1:10" x14ac:dyDescent="0.25">
      <c r="A238" s="96" t="s">
        <v>67</v>
      </c>
      <c r="B238" s="96" t="s">
        <v>14</v>
      </c>
      <c r="C238" s="96">
        <v>9</v>
      </c>
      <c r="D238" s="96" t="s">
        <v>55</v>
      </c>
      <c r="E238" s="96"/>
      <c r="F238" s="96"/>
      <c r="G238" s="97"/>
      <c r="H238" s="96">
        <f t="shared" si="12"/>
        <v>0</v>
      </c>
      <c r="I238" s="97">
        <f t="shared" si="14"/>
        <v>0</v>
      </c>
      <c r="J238" s="96">
        <f>'PROGRAMA LECTURA'!AP19</f>
        <v>0</v>
      </c>
    </row>
    <row r="239" spans="1:10" x14ac:dyDescent="0.25">
      <c r="A239" s="96" t="s">
        <v>67</v>
      </c>
      <c r="B239" s="96" t="s">
        <v>14</v>
      </c>
      <c r="C239" s="96">
        <v>9</v>
      </c>
      <c r="D239" s="96" t="s">
        <v>56</v>
      </c>
      <c r="E239" s="96"/>
      <c r="F239" s="96"/>
      <c r="G239" s="97"/>
      <c r="H239" s="96">
        <f t="shared" si="12"/>
        <v>0</v>
      </c>
      <c r="I239" s="97">
        <f t="shared" si="14"/>
        <v>0</v>
      </c>
      <c r="J239" s="96">
        <f>'PROGRAMA LECTURA'!AQ19</f>
        <v>0</v>
      </c>
    </row>
    <row r="240" spans="1:10" x14ac:dyDescent="0.25">
      <c r="A240" s="96" t="s">
        <v>67</v>
      </c>
      <c r="B240" s="96" t="s">
        <v>15</v>
      </c>
      <c r="C240" s="96">
        <v>10</v>
      </c>
      <c r="D240" s="96" t="s">
        <v>20</v>
      </c>
      <c r="E240" s="96"/>
      <c r="F240" s="96"/>
      <c r="G240" s="97"/>
      <c r="H240" s="96">
        <f t="shared" si="12"/>
        <v>0</v>
      </c>
      <c r="I240" s="97">
        <f t="shared" si="14"/>
        <v>0</v>
      </c>
      <c r="J240" s="96">
        <f>'PROGRAMA LECTURA'!AR19</f>
        <v>0</v>
      </c>
    </row>
    <row r="241" spans="1:10" x14ac:dyDescent="0.25">
      <c r="A241" s="96" t="s">
        <v>67</v>
      </c>
      <c r="B241" s="96" t="s">
        <v>15</v>
      </c>
      <c r="C241" s="96">
        <v>10</v>
      </c>
      <c r="D241" s="96" t="s">
        <v>42</v>
      </c>
      <c r="E241" s="96"/>
      <c r="F241" s="96"/>
      <c r="G241" s="97"/>
      <c r="H241" s="96">
        <f t="shared" si="12"/>
        <v>0</v>
      </c>
      <c r="I241" s="97">
        <f t="shared" si="14"/>
        <v>0</v>
      </c>
      <c r="J241" s="96">
        <f>'PROGRAMA LECTURA'!AS19</f>
        <v>0</v>
      </c>
    </row>
    <row r="242" spans="1:10" ht="30" x14ac:dyDescent="0.25">
      <c r="A242" s="96" t="s">
        <v>67</v>
      </c>
      <c r="B242" s="96" t="s">
        <v>16</v>
      </c>
      <c r="C242" s="96">
        <v>11</v>
      </c>
      <c r="D242" s="96" t="s">
        <v>57</v>
      </c>
      <c r="E242" s="96"/>
      <c r="F242" s="96"/>
      <c r="G242" s="96"/>
      <c r="H242" s="96">
        <f t="shared" si="12"/>
        <v>0</v>
      </c>
      <c r="I242" s="97">
        <f>H242/3</f>
        <v>0</v>
      </c>
      <c r="J242" s="96">
        <f>'PROGRAMA LECTURA'!AT19</f>
        <v>0</v>
      </c>
    </row>
    <row r="243" spans="1:10" x14ac:dyDescent="0.25">
      <c r="A243" s="98" t="s">
        <v>67</v>
      </c>
      <c r="B243" s="98" t="s">
        <v>16</v>
      </c>
      <c r="C243" s="98">
        <v>11</v>
      </c>
      <c r="D243" s="98" t="s">
        <v>39</v>
      </c>
      <c r="E243" s="98"/>
      <c r="F243" s="98"/>
      <c r="G243" s="98"/>
      <c r="H243" s="98">
        <f t="shared" si="12"/>
        <v>0</v>
      </c>
      <c r="I243" s="99">
        <f>H243/3</f>
        <v>0</v>
      </c>
      <c r="J243" s="100">
        <f>'PROGRAMA LECTURA'!AU19</f>
        <v>0</v>
      </c>
    </row>
    <row r="244" spans="1:10" x14ac:dyDescent="0.25">
      <c r="A244" s="96" t="s">
        <v>67</v>
      </c>
      <c r="B244" s="96" t="s">
        <v>17</v>
      </c>
      <c r="C244" s="96">
        <v>12</v>
      </c>
      <c r="D244" s="96" t="s">
        <v>38</v>
      </c>
      <c r="E244" s="96"/>
      <c r="F244" s="96"/>
      <c r="G244" s="97"/>
      <c r="H244" s="96">
        <f t="shared" si="12"/>
        <v>0</v>
      </c>
      <c r="I244" s="97">
        <f t="shared" ref="I244:I263" si="15">H244/3</f>
        <v>0</v>
      </c>
      <c r="J244" s="96">
        <f>'PROGRAMA LECTURA'!AV19</f>
        <v>0</v>
      </c>
    </row>
    <row r="245" spans="1:10" x14ac:dyDescent="0.25">
      <c r="A245" s="101" t="s">
        <v>68</v>
      </c>
      <c r="B245" s="96" t="s">
        <v>6</v>
      </c>
      <c r="C245" s="96">
        <v>1</v>
      </c>
      <c r="D245" s="96" t="s">
        <v>38</v>
      </c>
      <c r="E245" s="96" t="s">
        <v>74</v>
      </c>
      <c r="F245" s="96" t="s">
        <v>74</v>
      </c>
      <c r="G245" s="97" t="s">
        <v>74</v>
      </c>
      <c r="H245" s="96">
        <f t="shared" si="12"/>
        <v>3</v>
      </c>
      <c r="I245" s="97">
        <f t="shared" si="15"/>
        <v>1</v>
      </c>
      <c r="J245" s="96" t="str">
        <f>'PROGRAMA LECTURA'!V20</f>
        <v>C</v>
      </c>
    </row>
    <row r="246" spans="1:10" x14ac:dyDescent="0.25">
      <c r="A246" s="101" t="s">
        <v>68</v>
      </c>
      <c r="B246" s="96" t="s">
        <v>6</v>
      </c>
      <c r="C246" s="96">
        <v>1</v>
      </c>
      <c r="D246" s="96" t="s">
        <v>39</v>
      </c>
      <c r="E246" s="96" t="s">
        <v>74</v>
      </c>
      <c r="F246" s="96" t="s">
        <v>74</v>
      </c>
      <c r="G246" s="97" t="s">
        <v>74</v>
      </c>
      <c r="H246" s="96">
        <f t="shared" si="12"/>
        <v>3</v>
      </c>
      <c r="I246" s="97">
        <f t="shared" si="15"/>
        <v>1</v>
      </c>
      <c r="J246" s="96" t="str">
        <f>'PROGRAMA LECTURA'!W20</f>
        <v>C</v>
      </c>
    </row>
    <row r="247" spans="1:10" ht="45" x14ac:dyDescent="0.25">
      <c r="A247" s="101" t="s">
        <v>68</v>
      </c>
      <c r="B247" s="96" t="s">
        <v>7</v>
      </c>
      <c r="C247" s="96">
        <v>2</v>
      </c>
      <c r="D247" s="96" t="s">
        <v>40</v>
      </c>
      <c r="E247" s="96" t="s">
        <v>74</v>
      </c>
      <c r="F247" s="96" t="s">
        <v>74</v>
      </c>
      <c r="G247" s="97" t="s">
        <v>74</v>
      </c>
      <c r="H247" s="96">
        <f t="shared" si="12"/>
        <v>3</v>
      </c>
      <c r="I247" s="97">
        <f t="shared" si="15"/>
        <v>1</v>
      </c>
      <c r="J247" s="96" t="str">
        <f>'PROGRAMA LECTURA'!X20</f>
        <v>C</v>
      </c>
    </row>
    <row r="248" spans="1:10" x14ac:dyDescent="0.25">
      <c r="A248" s="101" t="s">
        <v>68</v>
      </c>
      <c r="B248" s="96" t="s">
        <v>7</v>
      </c>
      <c r="C248" s="96">
        <v>2</v>
      </c>
      <c r="D248" s="96" t="s">
        <v>20</v>
      </c>
      <c r="E248" s="96" t="s">
        <v>74</v>
      </c>
      <c r="F248" s="96" t="s">
        <v>74</v>
      </c>
      <c r="G248" s="97" t="s">
        <v>74</v>
      </c>
      <c r="H248" s="96">
        <f t="shared" si="12"/>
        <v>3</v>
      </c>
      <c r="I248" s="97">
        <f t="shared" si="15"/>
        <v>1</v>
      </c>
      <c r="J248" s="96" t="str">
        <f>'PROGRAMA LECTURA'!Y20</f>
        <v>C</v>
      </c>
    </row>
    <row r="249" spans="1:10" x14ac:dyDescent="0.25">
      <c r="A249" s="101" t="s">
        <v>68</v>
      </c>
      <c r="B249" s="96" t="s">
        <v>8</v>
      </c>
      <c r="C249" s="96">
        <v>3</v>
      </c>
      <c r="D249" s="96" t="s">
        <v>41</v>
      </c>
      <c r="E249" s="96" t="s">
        <v>74</v>
      </c>
      <c r="F249" s="96" t="s">
        <v>74</v>
      </c>
      <c r="G249" s="97" t="s">
        <v>74</v>
      </c>
      <c r="H249" s="96">
        <f t="shared" si="12"/>
        <v>3</v>
      </c>
      <c r="I249" s="97">
        <f t="shared" si="15"/>
        <v>1</v>
      </c>
      <c r="J249" s="96" t="str">
        <f>'PROGRAMA LECTURA'!Z20</f>
        <v>C</v>
      </c>
    </row>
    <row r="250" spans="1:10" x14ac:dyDescent="0.25">
      <c r="A250" s="101" t="s">
        <v>68</v>
      </c>
      <c r="B250" s="96" t="s">
        <v>8</v>
      </c>
      <c r="C250" s="96">
        <v>3</v>
      </c>
      <c r="D250" s="96" t="s">
        <v>42</v>
      </c>
      <c r="E250" s="96" t="s">
        <v>74</v>
      </c>
      <c r="F250" s="96" t="s">
        <v>74</v>
      </c>
      <c r="G250" s="97" t="s">
        <v>74</v>
      </c>
      <c r="H250" s="96">
        <f t="shared" si="12"/>
        <v>3</v>
      </c>
      <c r="I250" s="97">
        <f t="shared" si="15"/>
        <v>1</v>
      </c>
      <c r="J250" s="96" t="str">
        <f>'PROGRAMA LECTURA'!AA20</f>
        <v>C</v>
      </c>
    </row>
    <row r="251" spans="1:10" ht="60" x14ac:dyDescent="0.25">
      <c r="A251" s="101" t="s">
        <v>68</v>
      </c>
      <c r="B251" s="96" t="s">
        <v>9</v>
      </c>
      <c r="C251" s="96">
        <v>4</v>
      </c>
      <c r="D251" s="96" t="s">
        <v>43</v>
      </c>
      <c r="E251" s="96" t="s">
        <v>74</v>
      </c>
      <c r="F251" s="96" t="s">
        <v>74</v>
      </c>
      <c r="G251" s="97" t="s">
        <v>74</v>
      </c>
      <c r="H251" s="96">
        <f t="shared" si="12"/>
        <v>3</v>
      </c>
      <c r="I251" s="97">
        <f t="shared" si="15"/>
        <v>1</v>
      </c>
      <c r="J251" s="96" t="str">
        <f>'PROGRAMA LECTURA'!AB20</f>
        <v>C</v>
      </c>
    </row>
    <row r="252" spans="1:10" x14ac:dyDescent="0.25">
      <c r="A252" s="101" t="s">
        <v>68</v>
      </c>
      <c r="B252" s="96" t="s">
        <v>9</v>
      </c>
      <c r="C252" s="96">
        <v>4</v>
      </c>
      <c r="D252" s="96" t="s">
        <v>44</v>
      </c>
      <c r="E252" s="96" t="s">
        <v>74</v>
      </c>
      <c r="F252" s="96" t="s">
        <v>74</v>
      </c>
      <c r="G252" s="97" t="s">
        <v>74</v>
      </c>
      <c r="H252" s="96">
        <f t="shared" si="12"/>
        <v>3</v>
      </c>
      <c r="I252" s="97">
        <f t="shared" si="15"/>
        <v>1</v>
      </c>
      <c r="J252" s="96" t="str">
        <f>'PROGRAMA LECTURA'!AC20</f>
        <v>C</v>
      </c>
    </row>
    <row r="253" spans="1:10" ht="30" x14ac:dyDescent="0.25">
      <c r="A253" s="101" t="s">
        <v>68</v>
      </c>
      <c r="B253" s="96" t="s">
        <v>9</v>
      </c>
      <c r="C253" s="96">
        <v>4</v>
      </c>
      <c r="D253" s="96" t="s">
        <v>45</v>
      </c>
      <c r="E253" s="96" t="s">
        <v>74</v>
      </c>
      <c r="F253" s="96" t="s">
        <v>74</v>
      </c>
      <c r="G253" s="97" t="s">
        <v>74</v>
      </c>
      <c r="H253" s="96">
        <f t="shared" si="12"/>
        <v>3</v>
      </c>
      <c r="I253" s="97">
        <f t="shared" si="15"/>
        <v>1</v>
      </c>
      <c r="J253" s="96" t="str">
        <f>'PROGRAMA LECTURA'!AD20</f>
        <v>C</v>
      </c>
    </row>
    <row r="254" spans="1:10" x14ac:dyDescent="0.25">
      <c r="A254" s="101" t="s">
        <v>68</v>
      </c>
      <c r="B254" s="96" t="s">
        <v>10</v>
      </c>
      <c r="C254" s="96">
        <v>5</v>
      </c>
      <c r="D254" s="96" t="s">
        <v>46</v>
      </c>
      <c r="E254" s="96" t="s">
        <v>74</v>
      </c>
      <c r="F254" s="96" t="s">
        <v>74</v>
      </c>
      <c r="G254" s="97" t="s">
        <v>74</v>
      </c>
      <c r="H254" s="96">
        <f t="shared" si="12"/>
        <v>3</v>
      </c>
      <c r="I254" s="97">
        <f t="shared" si="15"/>
        <v>1</v>
      </c>
      <c r="J254" s="96" t="str">
        <f>'PROGRAMA LECTURA'!AE20</f>
        <v>C</v>
      </c>
    </row>
    <row r="255" spans="1:10" ht="30" x14ac:dyDescent="0.25">
      <c r="A255" s="101" t="s">
        <v>68</v>
      </c>
      <c r="B255" s="96" t="s">
        <v>10</v>
      </c>
      <c r="C255" s="96">
        <v>5</v>
      </c>
      <c r="D255" s="96" t="s">
        <v>47</v>
      </c>
      <c r="E255" s="96" t="s">
        <v>74</v>
      </c>
      <c r="F255" s="96" t="s">
        <v>74</v>
      </c>
      <c r="G255" s="97" t="s">
        <v>74</v>
      </c>
      <c r="H255" s="96">
        <f t="shared" si="12"/>
        <v>3</v>
      </c>
      <c r="I255" s="97">
        <f t="shared" si="15"/>
        <v>1</v>
      </c>
      <c r="J255" s="96" t="str">
        <f>'PROGRAMA LECTURA'!AF20</f>
        <v>C</v>
      </c>
    </row>
    <row r="256" spans="1:10" x14ac:dyDescent="0.25">
      <c r="A256" s="101" t="s">
        <v>68</v>
      </c>
      <c r="B256" s="96" t="s">
        <v>11</v>
      </c>
      <c r="C256" s="96">
        <v>6</v>
      </c>
      <c r="D256" s="96" t="s">
        <v>20</v>
      </c>
      <c r="E256" s="96" t="s">
        <v>74</v>
      </c>
      <c r="F256" s="96" t="s">
        <v>74</v>
      </c>
      <c r="G256" s="97" t="s">
        <v>74</v>
      </c>
      <c r="H256" s="96">
        <f t="shared" si="12"/>
        <v>3</v>
      </c>
      <c r="I256" s="97">
        <f t="shared" si="15"/>
        <v>1</v>
      </c>
      <c r="J256" s="96" t="str">
        <f>'PROGRAMA LECTURA'!AG20</f>
        <v>C</v>
      </c>
    </row>
    <row r="257" spans="1:10" ht="45" x14ac:dyDescent="0.25">
      <c r="A257" s="101" t="s">
        <v>68</v>
      </c>
      <c r="B257" s="96" t="s">
        <v>11</v>
      </c>
      <c r="C257" s="96">
        <v>6</v>
      </c>
      <c r="D257" s="96" t="s">
        <v>48</v>
      </c>
      <c r="E257" s="96" t="s">
        <v>74</v>
      </c>
      <c r="F257" s="96" t="s">
        <v>74</v>
      </c>
      <c r="G257" s="97" t="s">
        <v>74</v>
      </c>
      <c r="H257" s="96">
        <f t="shared" si="12"/>
        <v>3</v>
      </c>
      <c r="I257" s="97">
        <f t="shared" si="15"/>
        <v>1</v>
      </c>
      <c r="J257" s="96" t="str">
        <f>'PROGRAMA LECTURA'!AH20</f>
        <v>C</v>
      </c>
    </row>
    <row r="258" spans="1:10" x14ac:dyDescent="0.25">
      <c r="A258" s="101" t="s">
        <v>68</v>
      </c>
      <c r="B258" s="96" t="s">
        <v>11</v>
      </c>
      <c r="C258" s="96">
        <v>6</v>
      </c>
      <c r="D258" s="96" t="s">
        <v>49</v>
      </c>
      <c r="E258" s="96" t="s">
        <v>75</v>
      </c>
      <c r="F258" s="96" t="s">
        <v>75</v>
      </c>
      <c r="G258" s="97" t="s">
        <v>75</v>
      </c>
      <c r="H258" s="96">
        <f t="shared" ref="H258:H321" si="16">COUNTIF(E258:G258,"C")</f>
        <v>0</v>
      </c>
      <c r="I258" s="97">
        <f t="shared" si="15"/>
        <v>0</v>
      </c>
      <c r="J258" s="96" t="str">
        <f>'PROGRAMA LECTURA'!AI20</f>
        <v>F</v>
      </c>
    </row>
    <row r="259" spans="1:10" x14ac:dyDescent="0.25">
      <c r="A259" s="101" t="s">
        <v>68</v>
      </c>
      <c r="B259" s="96" t="s">
        <v>12</v>
      </c>
      <c r="C259" s="96">
        <v>7</v>
      </c>
      <c r="D259" s="96" t="s">
        <v>38</v>
      </c>
      <c r="E259" s="96" t="s">
        <v>74</v>
      </c>
      <c r="F259" s="96" t="s">
        <v>74</v>
      </c>
      <c r="G259" s="96" t="s">
        <v>74</v>
      </c>
      <c r="H259" s="96">
        <f t="shared" si="16"/>
        <v>3</v>
      </c>
      <c r="I259" s="97">
        <f t="shared" si="15"/>
        <v>1</v>
      </c>
      <c r="J259" s="96" t="str">
        <f>'PROGRAMA LECTURA'!AJ20</f>
        <v>C</v>
      </c>
    </row>
    <row r="260" spans="1:10" ht="60" x14ac:dyDescent="0.25">
      <c r="A260" s="101" t="s">
        <v>68</v>
      </c>
      <c r="B260" s="96" t="s">
        <v>12</v>
      </c>
      <c r="C260" s="96">
        <v>7</v>
      </c>
      <c r="D260" s="96" t="s">
        <v>87</v>
      </c>
      <c r="E260" s="96"/>
      <c r="F260" s="96"/>
      <c r="G260" s="97"/>
      <c r="H260" s="96">
        <f t="shared" si="16"/>
        <v>0</v>
      </c>
      <c r="I260" s="97">
        <f t="shared" si="15"/>
        <v>0</v>
      </c>
      <c r="J260" s="96" t="str">
        <f>'PROGRAMA LECTURA'!AK20</f>
        <v>F</v>
      </c>
    </row>
    <row r="261" spans="1:10" x14ac:dyDescent="0.25">
      <c r="A261" s="101" t="s">
        <v>68</v>
      </c>
      <c r="B261" s="96" t="s">
        <v>12</v>
      </c>
      <c r="C261" s="96">
        <v>7</v>
      </c>
      <c r="D261" s="96" t="s">
        <v>51</v>
      </c>
      <c r="E261" s="96" t="s">
        <v>76</v>
      </c>
      <c r="F261" s="96" t="s">
        <v>76</v>
      </c>
      <c r="G261" s="97" t="s">
        <v>76</v>
      </c>
      <c r="H261" s="96">
        <f t="shared" si="16"/>
        <v>0</v>
      </c>
      <c r="I261" s="97">
        <f t="shared" si="15"/>
        <v>0</v>
      </c>
      <c r="J261" s="96" t="str">
        <f>'PROGRAMA LECTURA'!AL20</f>
        <v>EP</v>
      </c>
    </row>
    <row r="262" spans="1:10" x14ac:dyDescent="0.25">
      <c r="A262" s="101" t="s">
        <v>68</v>
      </c>
      <c r="B262" s="96" t="s">
        <v>13</v>
      </c>
      <c r="C262" s="96">
        <v>8</v>
      </c>
      <c r="D262" s="96" t="s">
        <v>52</v>
      </c>
      <c r="E262" s="96"/>
      <c r="F262" s="96"/>
      <c r="G262" s="97"/>
      <c r="H262" s="96">
        <f t="shared" si="16"/>
        <v>0</v>
      </c>
      <c r="I262" s="97">
        <f t="shared" si="15"/>
        <v>0</v>
      </c>
      <c r="J262" s="96">
        <f>'PROGRAMA LECTURA'!AM20</f>
        <v>0</v>
      </c>
    </row>
    <row r="263" spans="1:10" x14ac:dyDescent="0.25">
      <c r="A263" s="101" t="s">
        <v>68</v>
      </c>
      <c r="B263" s="96" t="s">
        <v>13</v>
      </c>
      <c r="C263" s="96">
        <v>8</v>
      </c>
      <c r="D263" s="96" t="s">
        <v>53</v>
      </c>
      <c r="E263" s="96"/>
      <c r="F263" s="96"/>
      <c r="G263" s="97"/>
      <c r="H263" s="96">
        <f t="shared" si="16"/>
        <v>0</v>
      </c>
      <c r="I263" s="97">
        <f t="shared" si="15"/>
        <v>0</v>
      </c>
      <c r="J263" s="96">
        <f>'PROGRAMA LECTURA'!AN20</f>
        <v>0</v>
      </c>
    </row>
    <row r="264" spans="1:10" ht="30" x14ac:dyDescent="0.25">
      <c r="A264" s="101" t="s">
        <v>68</v>
      </c>
      <c r="B264" s="96" t="s">
        <v>13</v>
      </c>
      <c r="C264" s="96">
        <v>8</v>
      </c>
      <c r="D264" s="96" t="s">
        <v>54</v>
      </c>
      <c r="E264" s="96"/>
      <c r="F264" s="96"/>
      <c r="G264" s="96"/>
      <c r="H264" s="96">
        <f t="shared" si="16"/>
        <v>0</v>
      </c>
      <c r="I264" s="97">
        <f>H264/3</f>
        <v>0</v>
      </c>
      <c r="J264" s="96">
        <f>'PROGRAMA LECTURA'!AO20</f>
        <v>0</v>
      </c>
    </row>
    <row r="265" spans="1:10" x14ac:dyDescent="0.25">
      <c r="A265" s="104" t="s">
        <v>68</v>
      </c>
      <c r="B265" s="98" t="s">
        <v>14</v>
      </c>
      <c r="C265" s="98">
        <v>9</v>
      </c>
      <c r="D265" s="98" t="s">
        <v>55</v>
      </c>
      <c r="E265" s="98"/>
      <c r="F265" s="98"/>
      <c r="G265" s="98"/>
      <c r="H265" s="98">
        <f t="shared" si="16"/>
        <v>0</v>
      </c>
      <c r="I265" s="99">
        <f>H265/3</f>
        <v>0</v>
      </c>
      <c r="J265" s="100">
        <f>'PROGRAMA LECTURA'!AP20</f>
        <v>0</v>
      </c>
    </row>
    <row r="266" spans="1:10" x14ac:dyDescent="0.25">
      <c r="A266" s="101" t="s">
        <v>68</v>
      </c>
      <c r="B266" s="96" t="s">
        <v>14</v>
      </c>
      <c r="C266" s="96">
        <v>9</v>
      </c>
      <c r="D266" s="96" t="s">
        <v>56</v>
      </c>
      <c r="E266" s="96"/>
      <c r="F266" s="96"/>
      <c r="G266" s="97"/>
      <c r="H266" s="96">
        <f t="shared" si="16"/>
        <v>0</v>
      </c>
      <c r="I266" s="97">
        <f t="shared" ref="I266:I285" si="17">H266/3</f>
        <v>0</v>
      </c>
      <c r="J266" s="96">
        <f>'PROGRAMA LECTURA'!AQ20</f>
        <v>0</v>
      </c>
    </row>
    <row r="267" spans="1:10" x14ac:dyDescent="0.25">
      <c r="A267" s="101" t="s">
        <v>68</v>
      </c>
      <c r="B267" s="96" t="s">
        <v>15</v>
      </c>
      <c r="C267" s="96">
        <v>10</v>
      </c>
      <c r="D267" s="96" t="s">
        <v>20</v>
      </c>
      <c r="E267" s="96"/>
      <c r="F267" s="96"/>
      <c r="G267" s="97"/>
      <c r="H267" s="96">
        <f t="shared" si="16"/>
        <v>0</v>
      </c>
      <c r="I267" s="97">
        <f t="shared" si="17"/>
        <v>0</v>
      </c>
      <c r="J267" s="96">
        <f>'PROGRAMA LECTURA'!AR20</f>
        <v>0</v>
      </c>
    </row>
    <row r="268" spans="1:10" x14ac:dyDescent="0.25">
      <c r="A268" s="101" t="s">
        <v>68</v>
      </c>
      <c r="B268" s="96" t="s">
        <v>15</v>
      </c>
      <c r="C268" s="96">
        <v>10</v>
      </c>
      <c r="D268" s="96" t="s">
        <v>42</v>
      </c>
      <c r="E268" s="96"/>
      <c r="F268" s="96"/>
      <c r="G268" s="97"/>
      <c r="H268" s="96">
        <f t="shared" si="16"/>
        <v>0</v>
      </c>
      <c r="I268" s="97">
        <f t="shared" si="17"/>
        <v>0</v>
      </c>
      <c r="J268" s="96">
        <f>'PROGRAMA LECTURA'!AS20</f>
        <v>0</v>
      </c>
    </row>
    <row r="269" spans="1:10" ht="30" x14ac:dyDescent="0.25">
      <c r="A269" s="101" t="s">
        <v>68</v>
      </c>
      <c r="B269" s="96" t="s">
        <v>16</v>
      </c>
      <c r="C269" s="96">
        <v>11</v>
      </c>
      <c r="D269" s="96" t="s">
        <v>57</v>
      </c>
      <c r="E269" s="96"/>
      <c r="F269" s="96"/>
      <c r="G269" s="97"/>
      <c r="H269" s="96">
        <f t="shared" si="16"/>
        <v>0</v>
      </c>
      <c r="I269" s="97">
        <f t="shared" si="17"/>
        <v>0</v>
      </c>
      <c r="J269" s="96">
        <f>'PROGRAMA LECTURA'!AT20</f>
        <v>0</v>
      </c>
    </row>
    <row r="270" spans="1:10" x14ac:dyDescent="0.25">
      <c r="A270" s="101" t="s">
        <v>68</v>
      </c>
      <c r="B270" s="96" t="s">
        <v>16</v>
      </c>
      <c r="C270" s="96">
        <v>11</v>
      </c>
      <c r="D270" s="96" t="s">
        <v>39</v>
      </c>
      <c r="E270" s="96"/>
      <c r="F270" s="96"/>
      <c r="G270" s="97"/>
      <c r="H270" s="96">
        <f t="shared" si="16"/>
        <v>0</v>
      </c>
      <c r="I270" s="97">
        <f t="shared" si="17"/>
        <v>0</v>
      </c>
      <c r="J270" s="96">
        <f>'PROGRAMA LECTURA'!AU20</f>
        <v>0</v>
      </c>
    </row>
    <row r="271" spans="1:10" x14ac:dyDescent="0.25">
      <c r="A271" s="101" t="s">
        <v>68</v>
      </c>
      <c r="B271" s="96" t="s">
        <v>17</v>
      </c>
      <c r="C271" s="96">
        <v>12</v>
      </c>
      <c r="D271" s="96" t="s">
        <v>38</v>
      </c>
      <c r="E271" s="96"/>
      <c r="F271" s="96"/>
      <c r="G271" s="97"/>
      <c r="H271" s="96">
        <f t="shared" si="16"/>
        <v>0</v>
      </c>
      <c r="I271" s="97">
        <f t="shared" si="17"/>
        <v>0</v>
      </c>
      <c r="J271" s="96">
        <f>'PROGRAMA LECTURA'!AV20</f>
        <v>0</v>
      </c>
    </row>
    <row r="272" spans="1:10" x14ac:dyDescent="0.25">
      <c r="A272" s="96" t="s">
        <v>69</v>
      </c>
      <c r="B272" s="96" t="s">
        <v>6</v>
      </c>
      <c r="C272" s="96">
        <v>1</v>
      </c>
      <c r="D272" s="96" t="s">
        <v>38</v>
      </c>
      <c r="E272" s="96" t="s">
        <v>74</v>
      </c>
      <c r="F272" s="96" t="s">
        <v>74</v>
      </c>
      <c r="G272" s="97" t="s">
        <v>74</v>
      </c>
      <c r="H272" s="96">
        <f t="shared" si="16"/>
        <v>3</v>
      </c>
      <c r="I272" s="97">
        <f t="shared" si="17"/>
        <v>1</v>
      </c>
      <c r="J272" s="96" t="str">
        <f>'PROGRAMA LECTURA'!V21</f>
        <v>C</v>
      </c>
    </row>
    <row r="273" spans="1:10" x14ac:dyDescent="0.25">
      <c r="A273" s="96" t="s">
        <v>69</v>
      </c>
      <c r="B273" s="96" t="s">
        <v>6</v>
      </c>
      <c r="C273" s="96">
        <v>1</v>
      </c>
      <c r="D273" s="96" t="s">
        <v>39</v>
      </c>
      <c r="E273" s="96" t="s">
        <v>74</v>
      </c>
      <c r="F273" s="96" t="s">
        <v>74</v>
      </c>
      <c r="G273" s="97" t="s">
        <v>74</v>
      </c>
      <c r="H273" s="96">
        <f t="shared" si="16"/>
        <v>3</v>
      </c>
      <c r="I273" s="97">
        <f t="shared" si="17"/>
        <v>1</v>
      </c>
      <c r="J273" s="96" t="str">
        <f>'PROGRAMA LECTURA'!W21</f>
        <v>C</v>
      </c>
    </row>
    <row r="274" spans="1:10" ht="45" x14ac:dyDescent="0.25">
      <c r="A274" s="96" t="s">
        <v>69</v>
      </c>
      <c r="B274" s="96" t="s">
        <v>7</v>
      </c>
      <c r="C274" s="96">
        <v>2</v>
      </c>
      <c r="D274" s="96" t="s">
        <v>40</v>
      </c>
      <c r="E274" s="96" t="s">
        <v>74</v>
      </c>
      <c r="F274" s="96" t="s">
        <v>74</v>
      </c>
      <c r="G274" s="97" t="s">
        <v>74</v>
      </c>
      <c r="H274" s="96">
        <f t="shared" si="16"/>
        <v>3</v>
      </c>
      <c r="I274" s="97">
        <f t="shared" si="17"/>
        <v>1</v>
      </c>
      <c r="J274" s="96" t="str">
        <f>'PROGRAMA LECTURA'!X21</f>
        <v>C</v>
      </c>
    </row>
    <row r="275" spans="1:10" x14ac:dyDescent="0.25">
      <c r="A275" s="96" t="s">
        <v>69</v>
      </c>
      <c r="B275" s="96" t="s">
        <v>7</v>
      </c>
      <c r="C275" s="96">
        <v>2</v>
      </c>
      <c r="D275" s="96" t="s">
        <v>20</v>
      </c>
      <c r="E275" s="96" t="s">
        <v>74</v>
      </c>
      <c r="F275" s="96" t="s">
        <v>74</v>
      </c>
      <c r="G275" s="97" t="s">
        <v>74</v>
      </c>
      <c r="H275" s="96">
        <f t="shared" si="16"/>
        <v>3</v>
      </c>
      <c r="I275" s="97">
        <f t="shared" si="17"/>
        <v>1</v>
      </c>
      <c r="J275" s="96" t="str">
        <f>'PROGRAMA LECTURA'!Y21</f>
        <v>C</v>
      </c>
    </row>
    <row r="276" spans="1:10" x14ac:dyDescent="0.25">
      <c r="A276" s="96" t="s">
        <v>69</v>
      </c>
      <c r="B276" s="96" t="s">
        <v>8</v>
      </c>
      <c r="C276" s="96">
        <v>3</v>
      </c>
      <c r="D276" s="96" t="s">
        <v>41</v>
      </c>
      <c r="E276" s="96" t="s">
        <v>74</v>
      </c>
      <c r="F276" s="96" t="s">
        <v>74</v>
      </c>
      <c r="G276" s="97" t="s">
        <v>74</v>
      </c>
      <c r="H276" s="96">
        <f t="shared" si="16"/>
        <v>3</v>
      </c>
      <c r="I276" s="97">
        <f t="shared" si="17"/>
        <v>1</v>
      </c>
      <c r="J276" s="96" t="str">
        <f>'PROGRAMA LECTURA'!Z21</f>
        <v>C</v>
      </c>
    </row>
    <row r="277" spans="1:10" x14ac:dyDescent="0.25">
      <c r="A277" s="96" t="s">
        <v>69</v>
      </c>
      <c r="B277" s="96" t="s">
        <v>8</v>
      </c>
      <c r="C277" s="96">
        <v>3</v>
      </c>
      <c r="D277" s="96" t="s">
        <v>42</v>
      </c>
      <c r="E277" s="96" t="s">
        <v>74</v>
      </c>
      <c r="F277" s="96" t="s">
        <v>74</v>
      </c>
      <c r="G277" s="97" t="s">
        <v>74</v>
      </c>
      <c r="H277" s="96">
        <f t="shared" si="16"/>
        <v>3</v>
      </c>
      <c r="I277" s="97">
        <f t="shared" si="17"/>
        <v>1</v>
      </c>
      <c r="J277" s="96" t="str">
        <f>'PROGRAMA LECTURA'!AA21</f>
        <v>C</v>
      </c>
    </row>
    <row r="278" spans="1:10" ht="60" x14ac:dyDescent="0.25">
      <c r="A278" s="96" t="s">
        <v>69</v>
      </c>
      <c r="B278" s="96" t="s">
        <v>9</v>
      </c>
      <c r="C278" s="96">
        <v>4</v>
      </c>
      <c r="D278" s="96" t="s">
        <v>43</v>
      </c>
      <c r="E278" s="96" t="s">
        <v>74</v>
      </c>
      <c r="F278" s="96" t="s">
        <v>74</v>
      </c>
      <c r="G278" s="97" t="s">
        <v>74</v>
      </c>
      <c r="H278" s="96">
        <f t="shared" si="16"/>
        <v>3</v>
      </c>
      <c r="I278" s="97">
        <f t="shared" si="17"/>
        <v>1</v>
      </c>
      <c r="J278" s="96" t="str">
        <f>'PROGRAMA LECTURA'!AB21</f>
        <v>C</v>
      </c>
    </row>
    <row r="279" spans="1:10" x14ac:dyDescent="0.25">
      <c r="A279" s="96" t="s">
        <v>69</v>
      </c>
      <c r="B279" s="96" t="s">
        <v>9</v>
      </c>
      <c r="C279" s="96">
        <v>4</v>
      </c>
      <c r="D279" s="96" t="s">
        <v>44</v>
      </c>
      <c r="E279" s="96" t="s">
        <v>74</v>
      </c>
      <c r="F279" s="96" t="s">
        <v>74</v>
      </c>
      <c r="G279" s="97" t="s">
        <v>74</v>
      </c>
      <c r="H279" s="96">
        <f t="shared" si="16"/>
        <v>3</v>
      </c>
      <c r="I279" s="97">
        <f t="shared" si="17"/>
        <v>1</v>
      </c>
      <c r="J279" s="96" t="str">
        <f>'PROGRAMA LECTURA'!AC21</f>
        <v>C</v>
      </c>
    </row>
    <row r="280" spans="1:10" ht="30" x14ac:dyDescent="0.25">
      <c r="A280" s="96" t="s">
        <v>69</v>
      </c>
      <c r="B280" s="96" t="s">
        <v>9</v>
      </c>
      <c r="C280" s="96">
        <v>4</v>
      </c>
      <c r="D280" s="96" t="s">
        <v>45</v>
      </c>
      <c r="E280" s="96" t="s">
        <v>74</v>
      </c>
      <c r="F280" s="96" t="s">
        <v>74</v>
      </c>
      <c r="G280" s="97" t="s">
        <v>74</v>
      </c>
      <c r="H280" s="96">
        <f t="shared" si="16"/>
        <v>3</v>
      </c>
      <c r="I280" s="97">
        <f t="shared" si="17"/>
        <v>1</v>
      </c>
      <c r="J280" s="96" t="str">
        <f>'PROGRAMA LECTURA'!AD21</f>
        <v>C</v>
      </c>
    </row>
    <row r="281" spans="1:10" x14ac:dyDescent="0.25">
      <c r="A281" s="96" t="s">
        <v>69</v>
      </c>
      <c r="B281" s="96" t="s">
        <v>10</v>
      </c>
      <c r="C281" s="96">
        <v>5</v>
      </c>
      <c r="D281" s="96" t="s">
        <v>46</v>
      </c>
      <c r="E281" s="96" t="s">
        <v>74</v>
      </c>
      <c r="F281" s="96" t="s">
        <v>74</v>
      </c>
      <c r="G281" s="97" t="s">
        <v>74</v>
      </c>
      <c r="H281" s="96">
        <f t="shared" si="16"/>
        <v>3</v>
      </c>
      <c r="I281" s="97">
        <f t="shared" si="17"/>
        <v>1</v>
      </c>
      <c r="J281" s="96" t="str">
        <f>'PROGRAMA LECTURA'!AE21</f>
        <v>C</v>
      </c>
    </row>
    <row r="282" spans="1:10" ht="30" x14ac:dyDescent="0.25">
      <c r="A282" s="96" t="s">
        <v>69</v>
      </c>
      <c r="B282" s="96" t="s">
        <v>10</v>
      </c>
      <c r="C282" s="96">
        <v>5</v>
      </c>
      <c r="D282" s="96" t="s">
        <v>47</v>
      </c>
      <c r="E282" s="96" t="s">
        <v>74</v>
      </c>
      <c r="F282" s="96" t="s">
        <v>74</v>
      </c>
      <c r="G282" s="97" t="s">
        <v>74</v>
      </c>
      <c r="H282" s="96">
        <f t="shared" si="16"/>
        <v>3</v>
      </c>
      <c r="I282" s="97">
        <f t="shared" si="17"/>
        <v>1</v>
      </c>
      <c r="J282" s="96" t="str">
        <f>'PROGRAMA LECTURA'!AF21</f>
        <v>C</v>
      </c>
    </row>
    <row r="283" spans="1:10" x14ac:dyDescent="0.25">
      <c r="A283" s="96" t="s">
        <v>69</v>
      </c>
      <c r="B283" s="96" t="s">
        <v>11</v>
      </c>
      <c r="C283" s="96">
        <v>6</v>
      </c>
      <c r="D283" s="96" t="s">
        <v>20</v>
      </c>
      <c r="E283" s="96" t="s">
        <v>74</v>
      </c>
      <c r="F283" s="96" t="s">
        <v>74</v>
      </c>
      <c r="G283" s="97" t="s">
        <v>74</v>
      </c>
      <c r="H283" s="96">
        <f t="shared" si="16"/>
        <v>3</v>
      </c>
      <c r="I283" s="97">
        <f t="shared" si="17"/>
        <v>1</v>
      </c>
      <c r="J283" s="96" t="str">
        <f>'PROGRAMA LECTURA'!AG21</f>
        <v>C</v>
      </c>
    </row>
    <row r="284" spans="1:10" ht="45" x14ac:dyDescent="0.25">
      <c r="A284" s="96" t="s">
        <v>69</v>
      </c>
      <c r="B284" s="96" t="s">
        <v>11</v>
      </c>
      <c r="C284" s="96">
        <v>6</v>
      </c>
      <c r="D284" s="96" t="s">
        <v>48</v>
      </c>
      <c r="E284" s="96" t="s">
        <v>74</v>
      </c>
      <c r="F284" s="96" t="s">
        <v>74</v>
      </c>
      <c r="G284" s="97" t="s">
        <v>74</v>
      </c>
      <c r="H284" s="96">
        <f t="shared" si="16"/>
        <v>3</v>
      </c>
      <c r="I284" s="97">
        <f t="shared" si="17"/>
        <v>1</v>
      </c>
      <c r="J284" s="96" t="str">
        <f>'PROGRAMA LECTURA'!AH21</f>
        <v>C</v>
      </c>
    </row>
    <row r="285" spans="1:10" x14ac:dyDescent="0.25">
      <c r="A285" s="96" t="s">
        <v>69</v>
      </c>
      <c r="B285" s="96" t="s">
        <v>11</v>
      </c>
      <c r="C285" s="96">
        <v>6</v>
      </c>
      <c r="D285" s="96" t="s">
        <v>49</v>
      </c>
      <c r="E285" s="96" t="s">
        <v>75</v>
      </c>
      <c r="F285" s="96" t="s">
        <v>75</v>
      </c>
      <c r="G285" s="97" t="s">
        <v>75</v>
      </c>
      <c r="H285" s="96">
        <f t="shared" si="16"/>
        <v>0</v>
      </c>
      <c r="I285" s="97">
        <f t="shared" si="17"/>
        <v>0</v>
      </c>
      <c r="J285" s="96" t="str">
        <f>'PROGRAMA LECTURA'!AI21</f>
        <v>F</v>
      </c>
    </row>
    <row r="286" spans="1:10" x14ac:dyDescent="0.25">
      <c r="A286" s="96" t="s">
        <v>69</v>
      </c>
      <c r="B286" s="96" t="s">
        <v>12</v>
      </c>
      <c r="C286" s="96">
        <v>7</v>
      </c>
      <c r="D286" s="96" t="s">
        <v>38</v>
      </c>
      <c r="E286" s="96" t="s">
        <v>74</v>
      </c>
      <c r="F286" s="96" t="s">
        <v>74</v>
      </c>
      <c r="G286" s="96" t="s">
        <v>74</v>
      </c>
      <c r="H286" s="96">
        <f t="shared" si="16"/>
        <v>3</v>
      </c>
      <c r="I286" s="97">
        <f>H286/3</f>
        <v>1</v>
      </c>
      <c r="J286" s="96" t="str">
        <f>'PROGRAMA LECTURA'!AJ21</f>
        <v>C</v>
      </c>
    </row>
    <row r="287" spans="1:10" ht="60" x14ac:dyDescent="0.25">
      <c r="A287" s="98" t="s">
        <v>69</v>
      </c>
      <c r="B287" s="98" t="s">
        <v>12</v>
      </c>
      <c r="C287" s="98">
        <v>7</v>
      </c>
      <c r="D287" s="98" t="s">
        <v>87</v>
      </c>
      <c r="E287" s="96"/>
      <c r="F287" s="96"/>
      <c r="G287" s="97"/>
      <c r="H287" s="98">
        <f t="shared" si="16"/>
        <v>0</v>
      </c>
      <c r="I287" s="99">
        <f>H287/3</f>
        <v>0</v>
      </c>
      <c r="J287" s="100" t="str">
        <f>'PROGRAMA LECTURA'!AK21</f>
        <v>F</v>
      </c>
    </row>
    <row r="288" spans="1:10" x14ac:dyDescent="0.25">
      <c r="A288" s="96" t="s">
        <v>69</v>
      </c>
      <c r="B288" s="96" t="s">
        <v>12</v>
      </c>
      <c r="C288" s="96">
        <v>7</v>
      </c>
      <c r="D288" s="96" t="s">
        <v>51</v>
      </c>
      <c r="E288" s="96" t="s">
        <v>76</v>
      </c>
      <c r="F288" s="96" t="s">
        <v>76</v>
      </c>
      <c r="G288" s="97" t="s">
        <v>76</v>
      </c>
      <c r="H288" s="96">
        <f t="shared" si="16"/>
        <v>0</v>
      </c>
      <c r="I288" s="97">
        <f t="shared" ref="I288:I307" si="18">H288/3</f>
        <v>0</v>
      </c>
      <c r="J288" s="96" t="str">
        <f>'PROGRAMA LECTURA'!AL21</f>
        <v>EP</v>
      </c>
    </row>
    <row r="289" spans="1:10" x14ac:dyDescent="0.25">
      <c r="A289" s="96" t="s">
        <v>69</v>
      </c>
      <c r="B289" s="96" t="s">
        <v>13</v>
      </c>
      <c r="C289" s="96">
        <v>8</v>
      </c>
      <c r="D289" s="96" t="s">
        <v>52</v>
      </c>
      <c r="E289" s="96"/>
      <c r="F289" s="96"/>
      <c r="G289" s="97"/>
      <c r="H289" s="96">
        <f t="shared" si="16"/>
        <v>0</v>
      </c>
      <c r="I289" s="97">
        <f t="shared" si="18"/>
        <v>0</v>
      </c>
      <c r="J289" s="96">
        <f>'PROGRAMA LECTURA'!AM21</f>
        <v>0</v>
      </c>
    </row>
    <row r="290" spans="1:10" x14ac:dyDescent="0.25">
      <c r="A290" s="96" t="s">
        <v>69</v>
      </c>
      <c r="B290" s="96" t="s">
        <v>13</v>
      </c>
      <c r="C290" s="96">
        <v>8</v>
      </c>
      <c r="D290" s="96" t="s">
        <v>53</v>
      </c>
      <c r="E290" s="96"/>
      <c r="F290" s="96"/>
      <c r="G290" s="97"/>
      <c r="H290" s="96">
        <f t="shared" si="16"/>
        <v>0</v>
      </c>
      <c r="I290" s="97">
        <f t="shared" si="18"/>
        <v>0</v>
      </c>
      <c r="J290" s="96">
        <f>'PROGRAMA LECTURA'!AN21</f>
        <v>0</v>
      </c>
    </row>
    <row r="291" spans="1:10" ht="30" x14ac:dyDescent="0.25">
      <c r="A291" s="96" t="s">
        <v>69</v>
      </c>
      <c r="B291" s="96" t="s">
        <v>13</v>
      </c>
      <c r="C291" s="96">
        <v>8</v>
      </c>
      <c r="D291" s="96" t="s">
        <v>54</v>
      </c>
      <c r="E291" s="96"/>
      <c r="F291" s="96"/>
      <c r="G291" s="97"/>
      <c r="H291" s="96">
        <f t="shared" si="16"/>
        <v>0</v>
      </c>
      <c r="I291" s="97">
        <f t="shared" si="18"/>
        <v>0</v>
      </c>
      <c r="J291" s="96">
        <f>'PROGRAMA LECTURA'!AO21</f>
        <v>0</v>
      </c>
    </row>
    <row r="292" spans="1:10" x14ac:dyDescent="0.25">
      <c r="A292" s="96" t="s">
        <v>69</v>
      </c>
      <c r="B292" s="96" t="s">
        <v>14</v>
      </c>
      <c r="C292" s="96">
        <v>9</v>
      </c>
      <c r="D292" s="96" t="s">
        <v>55</v>
      </c>
      <c r="E292" s="96"/>
      <c r="F292" s="96"/>
      <c r="G292" s="97"/>
      <c r="H292" s="96">
        <f t="shared" si="16"/>
        <v>0</v>
      </c>
      <c r="I292" s="97">
        <f t="shared" si="18"/>
        <v>0</v>
      </c>
      <c r="J292" s="96">
        <f>'PROGRAMA LECTURA'!AP21</f>
        <v>0</v>
      </c>
    </row>
    <row r="293" spans="1:10" x14ac:dyDescent="0.25">
      <c r="A293" s="96" t="s">
        <v>69</v>
      </c>
      <c r="B293" s="96" t="s">
        <v>14</v>
      </c>
      <c r="C293" s="96">
        <v>9</v>
      </c>
      <c r="D293" s="96" t="s">
        <v>56</v>
      </c>
      <c r="E293" s="96"/>
      <c r="F293" s="96"/>
      <c r="G293" s="97"/>
      <c r="H293" s="96">
        <f t="shared" si="16"/>
        <v>0</v>
      </c>
      <c r="I293" s="97">
        <f t="shared" si="18"/>
        <v>0</v>
      </c>
      <c r="J293" s="96">
        <f>'PROGRAMA LECTURA'!AQ21</f>
        <v>0</v>
      </c>
    </row>
    <row r="294" spans="1:10" x14ac:dyDescent="0.25">
      <c r="A294" s="96" t="s">
        <v>69</v>
      </c>
      <c r="B294" s="96" t="s">
        <v>15</v>
      </c>
      <c r="C294" s="96">
        <v>10</v>
      </c>
      <c r="D294" s="96" t="s">
        <v>20</v>
      </c>
      <c r="E294" s="96"/>
      <c r="F294" s="96"/>
      <c r="G294" s="97"/>
      <c r="H294" s="96">
        <f t="shared" si="16"/>
        <v>0</v>
      </c>
      <c r="I294" s="97">
        <f t="shared" si="18"/>
        <v>0</v>
      </c>
      <c r="J294" s="96">
        <f>'PROGRAMA LECTURA'!AR21</f>
        <v>0</v>
      </c>
    </row>
    <row r="295" spans="1:10" x14ac:dyDescent="0.25">
      <c r="A295" s="96" t="s">
        <v>69</v>
      </c>
      <c r="B295" s="96" t="s">
        <v>15</v>
      </c>
      <c r="C295" s="96">
        <v>10</v>
      </c>
      <c r="D295" s="96" t="s">
        <v>42</v>
      </c>
      <c r="E295" s="96"/>
      <c r="F295" s="96"/>
      <c r="G295" s="97"/>
      <c r="H295" s="96">
        <f t="shared" si="16"/>
        <v>0</v>
      </c>
      <c r="I295" s="97">
        <f t="shared" si="18"/>
        <v>0</v>
      </c>
      <c r="J295" s="96">
        <f>'PROGRAMA LECTURA'!AS21</f>
        <v>0</v>
      </c>
    </row>
    <row r="296" spans="1:10" ht="30" x14ac:dyDescent="0.25">
      <c r="A296" s="96" t="s">
        <v>69</v>
      </c>
      <c r="B296" s="96" t="s">
        <v>16</v>
      </c>
      <c r="C296" s="96">
        <v>11</v>
      </c>
      <c r="D296" s="96" t="s">
        <v>57</v>
      </c>
      <c r="E296" s="96"/>
      <c r="F296" s="96"/>
      <c r="G296" s="97"/>
      <c r="H296" s="96">
        <f t="shared" si="16"/>
        <v>0</v>
      </c>
      <c r="I296" s="97">
        <f t="shared" si="18"/>
        <v>0</v>
      </c>
      <c r="J296" s="96">
        <f>'PROGRAMA LECTURA'!AT21</f>
        <v>0</v>
      </c>
    </row>
    <row r="297" spans="1:10" x14ac:dyDescent="0.25">
      <c r="A297" s="96" t="s">
        <v>69</v>
      </c>
      <c r="B297" s="96" t="s">
        <v>16</v>
      </c>
      <c r="C297" s="96">
        <v>11</v>
      </c>
      <c r="D297" s="96" t="s">
        <v>39</v>
      </c>
      <c r="E297" s="96"/>
      <c r="F297" s="96"/>
      <c r="G297" s="97"/>
      <c r="H297" s="96">
        <f t="shared" si="16"/>
        <v>0</v>
      </c>
      <c r="I297" s="97">
        <f t="shared" si="18"/>
        <v>0</v>
      </c>
      <c r="J297" s="96">
        <f>'PROGRAMA LECTURA'!AU21</f>
        <v>0</v>
      </c>
    </row>
    <row r="298" spans="1:10" x14ac:dyDescent="0.25">
      <c r="A298" s="96" t="s">
        <v>69</v>
      </c>
      <c r="B298" s="96" t="s">
        <v>17</v>
      </c>
      <c r="C298" s="96">
        <v>12</v>
      </c>
      <c r="D298" s="96" t="s">
        <v>38</v>
      </c>
      <c r="E298" s="96"/>
      <c r="F298" s="96"/>
      <c r="G298" s="97"/>
      <c r="H298" s="96">
        <f t="shared" si="16"/>
        <v>0</v>
      </c>
      <c r="I298" s="97">
        <f t="shared" si="18"/>
        <v>0</v>
      </c>
      <c r="J298" s="96">
        <f>'PROGRAMA LECTURA'!AV21</f>
        <v>0</v>
      </c>
    </row>
    <row r="299" spans="1:10" x14ac:dyDescent="0.25">
      <c r="A299" s="101" t="s">
        <v>70</v>
      </c>
      <c r="B299" s="96" t="s">
        <v>6</v>
      </c>
      <c r="C299" s="96">
        <v>1</v>
      </c>
      <c r="D299" s="96" t="s">
        <v>38</v>
      </c>
      <c r="E299" s="96" t="s">
        <v>74</v>
      </c>
      <c r="F299" s="96" t="s">
        <v>74</v>
      </c>
      <c r="G299" s="97" t="s">
        <v>74</v>
      </c>
      <c r="H299" s="96">
        <f t="shared" si="16"/>
        <v>3</v>
      </c>
      <c r="I299" s="97">
        <f t="shared" si="18"/>
        <v>1</v>
      </c>
      <c r="J299" s="96" t="str">
        <f>'PROGRAMA LECTURA'!V22</f>
        <v>C</v>
      </c>
    </row>
    <row r="300" spans="1:10" x14ac:dyDescent="0.25">
      <c r="A300" s="101" t="s">
        <v>70</v>
      </c>
      <c r="B300" s="96" t="s">
        <v>6</v>
      </c>
      <c r="C300" s="96">
        <v>1</v>
      </c>
      <c r="D300" s="96" t="s">
        <v>39</v>
      </c>
      <c r="E300" s="96" t="s">
        <v>74</v>
      </c>
      <c r="F300" s="96" t="s">
        <v>74</v>
      </c>
      <c r="G300" s="97" t="s">
        <v>74</v>
      </c>
      <c r="H300" s="96">
        <f t="shared" si="16"/>
        <v>3</v>
      </c>
      <c r="I300" s="97">
        <f t="shared" si="18"/>
        <v>1</v>
      </c>
      <c r="J300" s="96" t="str">
        <f>'PROGRAMA LECTURA'!W22</f>
        <v>C</v>
      </c>
    </row>
    <row r="301" spans="1:10" ht="45" x14ac:dyDescent="0.25">
      <c r="A301" s="101" t="s">
        <v>70</v>
      </c>
      <c r="B301" s="96" t="s">
        <v>7</v>
      </c>
      <c r="C301" s="96">
        <v>2</v>
      </c>
      <c r="D301" s="96" t="s">
        <v>40</v>
      </c>
      <c r="E301" s="96" t="s">
        <v>74</v>
      </c>
      <c r="F301" s="96" t="s">
        <v>74</v>
      </c>
      <c r="G301" s="97" t="s">
        <v>74</v>
      </c>
      <c r="H301" s="96">
        <f t="shared" si="16"/>
        <v>3</v>
      </c>
      <c r="I301" s="97">
        <f t="shared" si="18"/>
        <v>1</v>
      </c>
      <c r="J301" s="96" t="str">
        <f>'PROGRAMA LECTURA'!X22</f>
        <v>C</v>
      </c>
    </row>
    <row r="302" spans="1:10" x14ac:dyDescent="0.25">
      <c r="A302" s="101" t="s">
        <v>70</v>
      </c>
      <c r="B302" s="96" t="s">
        <v>7</v>
      </c>
      <c r="C302" s="96">
        <v>2</v>
      </c>
      <c r="D302" s="96" t="s">
        <v>20</v>
      </c>
      <c r="E302" s="96" t="s">
        <v>74</v>
      </c>
      <c r="F302" s="96" t="s">
        <v>74</v>
      </c>
      <c r="G302" s="97" t="s">
        <v>74</v>
      </c>
      <c r="H302" s="96">
        <f t="shared" si="16"/>
        <v>3</v>
      </c>
      <c r="I302" s="97">
        <f t="shared" si="18"/>
        <v>1</v>
      </c>
      <c r="J302" s="96" t="str">
        <f>'PROGRAMA LECTURA'!Y22</f>
        <v>C</v>
      </c>
    </row>
    <row r="303" spans="1:10" x14ac:dyDescent="0.25">
      <c r="A303" s="101" t="s">
        <v>70</v>
      </c>
      <c r="B303" s="96" t="s">
        <v>8</v>
      </c>
      <c r="C303" s="96">
        <v>3</v>
      </c>
      <c r="D303" s="96" t="s">
        <v>41</v>
      </c>
      <c r="E303" s="96" t="s">
        <v>74</v>
      </c>
      <c r="F303" s="96" t="s">
        <v>74</v>
      </c>
      <c r="G303" s="97" t="s">
        <v>74</v>
      </c>
      <c r="H303" s="96">
        <f t="shared" si="16"/>
        <v>3</v>
      </c>
      <c r="I303" s="97">
        <f t="shared" si="18"/>
        <v>1</v>
      </c>
      <c r="J303" s="96" t="str">
        <f>'PROGRAMA LECTURA'!Z22</f>
        <v>C</v>
      </c>
    </row>
    <row r="304" spans="1:10" x14ac:dyDescent="0.25">
      <c r="A304" s="101" t="s">
        <v>70</v>
      </c>
      <c r="B304" s="96" t="s">
        <v>8</v>
      </c>
      <c r="C304" s="96">
        <v>3</v>
      </c>
      <c r="D304" s="96" t="s">
        <v>42</v>
      </c>
      <c r="E304" s="96" t="s">
        <v>74</v>
      </c>
      <c r="F304" s="96" t="s">
        <v>74</v>
      </c>
      <c r="G304" s="97" t="s">
        <v>74</v>
      </c>
      <c r="H304" s="96">
        <f t="shared" si="16"/>
        <v>3</v>
      </c>
      <c r="I304" s="97">
        <f t="shared" si="18"/>
        <v>1</v>
      </c>
      <c r="J304" s="96" t="str">
        <f>'PROGRAMA LECTURA'!AA22</f>
        <v>C</v>
      </c>
    </row>
    <row r="305" spans="1:10" ht="60" x14ac:dyDescent="0.25">
      <c r="A305" s="101" t="s">
        <v>70</v>
      </c>
      <c r="B305" s="96" t="s">
        <v>9</v>
      </c>
      <c r="C305" s="96">
        <v>4</v>
      </c>
      <c r="D305" s="96" t="s">
        <v>43</v>
      </c>
      <c r="E305" s="96" t="s">
        <v>74</v>
      </c>
      <c r="F305" s="96" t="s">
        <v>74</v>
      </c>
      <c r="G305" s="97" t="s">
        <v>74</v>
      </c>
      <c r="H305" s="96">
        <f t="shared" si="16"/>
        <v>3</v>
      </c>
      <c r="I305" s="97">
        <f t="shared" si="18"/>
        <v>1</v>
      </c>
      <c r="J305" s="96" t="str">
        <f>'PROGRAMA LECTURA'!AB22</f>
        <v>C</v>
      </c>
    </row>
    <row r="306" spans="1:10" x14ac:dyDescent="0.25">
      <c r="A306" s="101" t="s">
        <v>70</v>
      </c>
      <c r="B306" s="96" t="s">
        <v>9</v>
      </c>
      <c r="C306" s="96">
        <v>4</v>
      </c>
      <c r="D306" s="96" t="s">
        <v>44</v>
      </c>
      <c r="E306" s="96" t="s">
        <v>74</v>
      </c>
      <c r="F306" s="96" t="s">
        <v>74</v>
      </c>
      <c r="G306" s="97" t="s">
        <v>74</v>
      </c>
      <c r="H306" s="96">
        <f t="shared" si="16"/>
        <v>3</v>
      </c>
      <c r="I306" s="97">
        <f t="shared" si="18"/>
        <v>1</v>
      </c>
      <c r="J306" s="96" t="str">
        <f>'PROGRAMA LECTURA'!AC22</f>
        <v>C</v>
      </c>
    </row>
    <row r="307" spans="1:10" ht="30" x14ac:dyDescent="0.25">
      <c r="A307" s="101" t="s">
        <v>70</v>
      </c>
      <c r="B307" s="96" t="s">
        <v>9</v>
      </c>
      <c r="C307" s="96">
        <v>4</v>
      </c>
      <c r="D307" s="96" t="s">
        <v>45</v>
      </c>
      <c r="E307" s="96" t="s">
        <v>74</v>
      </c>
      <c r="F307" s="96" t="s">
        <v>74</v>
      </c>
      <c r="G307" s="97" t="s">
        <v>74</v>
      </c>
      <c r="H307" s="96">
        <f t="shared" si="16"/>
        <v>3</v>
      </c>
      <c r="I307" s="97">
        <f t="shared" si="18"/>
        <v>1</v>
      </c>
      <c r="J307" s="96" t="str">
        <f>'PROGRAMA LECTURA'!AD22</f>
        <v>C</v>
      </c>
    </row>
    <row r="308" spans="1:10" x14ac:dyDescent="0.25">
      <c r="A308" s="101" t="s">
        <v>70</v>
      </c>
      <c r="B308" s="96" t="s">
        <v>10</v>
      </c>
      <c r="C308" s="96">
        <v>5</v>
      </c>
      <c r="D308" s="96" t="s">
        <v>46</v>
      </c>
      <c r="E308" s="96" t="s">
        <v>74</v>
      </c>
      <c r="F308" s="96" t="s">
        <v>74</v>
      </c>
      <c r="G308" s="97" t="s">
        <v>74</v>
      </c>
      <c r="H308" s="96">
        <f t="shared" si="16"/>
        <v>3</v>
      </c>
      <c r="I308" s="97">
        <f>H308/3</f>
        <v>1</v>
      </c>
      <c r="J308" s="96" t="str">
        <f>'PROGRAMA LECTURA'!AE22</f>
        <v>C</v>
      </c>
    </row>
    <row r="309" spans="1:10" ht="30" x14ac:dyDescent="0.25">
      <c r="A309" s="104" t="s">
        <v>70</v>
      </c>
      <c r="B309" s="98" t="s">
        <v>10</v>
      </c>
      <c r="C309" s="98">
        <v>5</v>
      </c>
      <c r="D309" s="98" t="s">
        <v>47</v>
      </c>
      <c r="E309" s="96" t="s">
        <v>74</v>
      </c>
      <c r="F309" s="96" t="s">
        <v>74</v>
      </c>
      <c r="G309" s="97" t="s">
        <v>74</v>
      </c>
      <c r="H309" s="98">
        <f t="shared" si="16"/>
        <v>3</v>
      </c>
      <c r="I309" s="99">
        <f>H309/3</f>
        <v>1</v>
      </c>
      <c r="J309" s="100" t="str">
        <f>'PROGRAMA LECTURA'!AF22</f>
        <v>C</v>
      </c>
    </row>
    <row r="310" spans="1:10" x14ac:dyDescent="0.25">
      <c r="A310" s="101" t="s">
        <v>70</v>
      </c>
      <c r="B310" s="96" t="s">
        <v>11</v>
      </c>
      <c r="C310" s="96">
        <v>6</v>
      </c>
      <c r="D310" s="96" t="s">
        <v>20</v>
      </c>
      <c r="E310" s="96" t="s">
        <v>74</v>
      </c>
      <c r="F310" s="96" t="s">
        <v>74</v>
      </c>
      <c r="G310" s="97" t="s">
        <v>74</v>
      </c>
      <c r="H310" s="96">
        <f t="shared" si="16"/>
        <v>3</v>
      </c>
      <c r="I310" s="97">
        <f t="shared" ref="I310:I329" si="19">H310/3</f>
        <v>1</v>
      </c>
      <c r="J310" s="96" t="str">
        <f>'PROGRAMA LECTURA'!AG22</f>
        <v>C</v>
      </c>
    </row>
    <row r="311" spans="1:10" ht="45" x14ac:dyDescent="0.25">
      <c r="A311" s="101" t="s">
        <v>70</v>
      </c>
      <c r="B311" s="96" t="s">
        <v>11</v>
      </c>
      <c r="C311" s="96">
        <v>6</v>
      </c>
      <c r="D311" s="96" t="s">
        <v>48</v>
      </c>
      <c r="E311" s="96" t="s">
        <v>74</v>
      </c>
      <c r="F311" s="96" t="s">
        <v>74</v>
      </c>
      <c r="G311" s="97" t="s">
        <v>74</v>
      </c>
      <c r="H311" s="96">
        <f t="shared" si="16"/>
        <v>3</v>
      </c>
      <c r="I311" s="97">
        <f t="shared" si="19"/>
        <v>1</v>
      </c>
      <c r="J311" s="96" t="str">
        <f>'PROGRAMA LECTURA'!AH22</f>
        <v>C</v>
      </c>
    </row>
    <row r="312" spans="1:10" x14ac:dyDescent="0.25">
      <c r="A312" s="101" t="s">
        <v>70</v>
      </c>
      <c r="B312" s="96" t="s">
        <v>11</v>
      </c>
      <c r="C312" s="96">
        <v>6</v>
      </c>
      <c r="D312" s="96" t="s">
        <v>49</v>
      </c>
      <c r="E312" s="96" t="s">
        <v>75</v>
      </c>
      <c r="F312" s="96" t="s">
        <v>75</v>
      </c>
      <c r="G312" s="97" t="s">
        <v>75</v>
      </c>
      <c r="H312" s="96">
        <f t="shared" si="16"/>
        <v>0</v>
      </c>
      <c r="I312" s="97">
        <f t="shared" si="19"/>
        <v>0</v>
      </c>
      <c r="J312" s="96" t="str">
        <f>'PROGRAMA LECTURA'!AI22</f>
        <v>F</v>
      </c>
    </row>
    <row r="313" spans="1:10" x14ac:dyDescent="0.25">
      <c r="A313" s="101" t="s">
        <v>70</v>
      </c>
      <c r="B313" s="96" t="s">
        <v>12</v>
      </c>
      <c r="C313" s="96">
        <v>7</v>
      </c>
      <c r="D313" s="96" t="s">
        <v>38</v>
      </c>
      <c r="E313" s="96" t="s">
        <v>74</v>
      </c>
      <c r="F313" s="96" t="s">
        <v>74</v>
      </c>
      <c r="G313" s="96" t="s">
        <v>74</v>
      </c>
      <c r="H313" s="96">
        <f t="shared" si="16"/>
        <v>3</v>
      </c>
      <c r="I313" s="97">
        <f t="shared" si="19"/>
        <v>1</v>
      </c>
      <c r="J313" s="96" t="str">
        <f>'PROGRAMA LECTURA'!AJ22</f>
        <v>C</v>
      </c>
    </row>
    <row r="314" spans="1:10" ht="60" x14ac:dyDescent="0.25">
      <c r="A314" s="101" t="s">
        <v>70</v>
      </c>
      <c r="B314" s="96" t="s">
        <v>12</v>
      </c>
      <c r="C314" s="96">
        <v>7</v>
      </c>
      <c r="D314" s="96" t="s">
        <v>87</v>
      </c>
      <c r="E314" s="96"/>
      <c r="F314" s="96"/>
      <c r="G314" s="97"/>
      <c r="H314" s="96">
        <f t="shared" si="16"/>
        <v>0</v>
      </c>
      <c r="I314" s="97">
        <f t="shared" si="19"/>
        <v>0</v>
      </c>
      <c r="J314" s="96" t="str">
        <f>'PROGRAMA LECTURA'!AK22</f>
        <v>F</v>
      </c>
    </row>
    <row r="315" spans="1:10" x14ac:dyDescent="0.25">
      <c r="A315" s="101" t="s">
        <v>70</v>
      </c>
      <c r="B315" s="96" t="s">
        <v>12</v>
      </c>
      <c r="C315" s="96">
        <v>7</v>
      </c>
      <c r="D315" s="96" t="s">
        <v>51</v>
      </c>
      <c r="E315" s="96" t="s">
        <v>76</v>
      </c>
      <c r="F315" s="96" t="s">
        <v>76</v>
      </c>
      <c r="G315" s="97" t="s">
        <v>76</v>
      </c>
      <c r="H315" s="96">
        <f t="shared" si="16"/>
        <v>0</v>
      </c>
      <c r="I315" s="97">
        <f t="shared" si="19"/>
        <v>0</v>
      </c>
      <c r="J315" s="96" t="str">
        <f>'PROGRAMA LECTURA'!AL22</f>
        <v>EP</v>
      </c>
    </row>
    <row r="316" spans="1:10" x14ac:dyDescent="0.25">
      <c r="A316" s="101" t="s">
        <v>70</v>
      </c>
      <c r="B316" s="96" t="s">
        <v>13</v>
      </c>
      <c r="C316" s="96">
        <v>8</v>
      </c>
      <c r="D316" s="96" t="s">
        <v>52</v>
      </c>
      <c r="E316" s="96"/>
      <c r="F316" s="96"/>
      <c r="G316" s="97"/>
      <c r="H316" s="96">
        <f t="shared" si="16"/>
        <v>0</v>
      </c>
      <c r="I316" s="97">
        <f t="shared" si="19"/>
        <v>0</v>
      </c>
      <c r="J316" s="96">
        <f>'PROGRAMA LECTURA'!AM22</f>
        <v>0</v>
      </c>
    </row>
    <row r="317" spans="1:10" x14ac:dyDescent="0.25">
      <c r="A317" s="101" t="s">
        <v>70</v>
      </c>
      <c r="B317" s="96" t="s">
        <v>13</v>
      </c>
      <c r="C317" s="96">
        <v>8</v>
      </c>
      <c r="D317" s="96" t="s">
        <v>53</v>
      </c>
      <c r="E317" s="96"/>
      <c r="F317" s="96"/>
      <c r="G317" s="97"/>
      <c r="H317" s="96">
        <f t="shared" si="16"/>
        <v>0</v>
      </c>
      <c r="I317" s="97">
        <f t="shared" si="19"/>
        <v>0</v>
      </c>
      <c r="J317" s="96">
        <f>'PROGRAMA LECTURA'!AN22</f>
        <v>0</v>
      </c>
    </row>
    <row r="318" spans="1:10" ht="30" x14ac:dyDescent="0.25">
      <c r="A318" s="101" t="s">
        <v>70</v>
      </c>
      <c r="B318" s="96" t="s">
        <v>13</v>
      </c>
      <c r="C318" s="96">
        <v>8</v>
      </c>
      <c r="D318" s="96" t="s">
        <v>54</v>
      </c>
      <c r="E318" s="96"/>
      <c r="F318" s="96"/>
      <c r="G318" s="97"/>
      <c r="H318" s="96">
        <f t="shared" si="16"/>
        <v>0</v>
      </c>
      <c r="I318" s="97">
        <f t="shared" si="19"/>
        <v>0</v>
      </c>
      <c r="J318" s="96">
        <f>'PROGRAMA LECTURA'!AO22</f>
        <v>0</v>
      </c>
    </row>
    <row r="319" spans="1:10" x14ac:dyDescent="0.25">
      <c r="A319" s="101" t="s">
        <v>70</v>
      </c>
      <c r="B319" s="96" t="s">
        <v>14</v>
      </c>
      <c r="C319" s="96">
        <v>9</v>
      </c>
      <c r="D319" s="96" t="s">
        <v>55</v>
      </c>
      <c r="E319" s="96"/>
      <c r="F319" s="96"/>
      <c r="G319" s="97"/>
      <c r="H319" s="96">
        <f t="shared" si="16"/>
        <v>0</v>
      </c>
      <c r="I319" s="97">
        <f t="shared" si="19"/>
        <v>0</v>
      </c>
      <c r="J319" s="96">
        <f>'PROGRAMA LECTURA'!AP22</f>
        <v>0</v>
      </c>
    </row>
    <row r="320" spans="1:10" x14ac:dyDescent="0.25">
      <c r="A320" s="101" t="s">
        <v>70</v>
      </c>
      <c r="B320" s="96" t="s">
        <v>14</v>
      </c>
      <c r="C320" s="96">
        <v>9</v>
      </c>
      <c r="D320" s="96" t="s">
        <v>56</v>
      </c>
      <c r="E320" s="96"/>
      <c r="F320" s="96"/>
      <c r="G320" s="97"/>
      <c r="H320" s="96">
        <f t="shared" si="16"/>
        <v>0</v>
      </c>
      <c r="I320" s="97">
        <f t="shared" si="19"/>
        <v>0</v>
      </c>
      <c r="J320" s="96">
        <f>'PROGRAMA LECTURA'!AQ22</f>
        <v>0</v>
      </c>
    </row>
    <row r="321" spans="1:10" x14ac:dyDescent="0.25">
      <c r="A321" s="101" t="s">
        <v>70</v>
      </c>
      <c r="B321" s="96" t="s">
        <v>15</v>
      </c>
      <c r="C321" s="96">
        <v>10</v>
      </c>
      <c r="D321" s="96" t="s">
        <v>20</v>
      </c>
      <c r="E321" s="96"/>
      <c r="F321" s="96"/>
      <c r="G321" s="97"/>
      <c r="H321" s="96">
        <f t="shared" si="16"/>
        <v>0</v>
      </c>
      <c r="I321" s="97">
        <f t="shared" si="19"/>
        <v>0</v>
      </c>
      <c r="J321" s="96">
        <f>'PROGRAMA LECTURA'!AR22</f>
        <v>0</v>
      </c>
    </row>
    <row r="322" spans="1:10" x14ac:dyDescent="0.25">
      <c r="A322" s="101" t="s">
        <v>70</v>
      </c>
      <c r="B322" s="96" t="s">
        <v>15</v>
      </c>
      <c r="C322" s="96">
        <v>10</v>
      </c>
      <c r="D322" s="96" t="s">
        <v>42</v>
      </c>
      <c r="E322" s="96"/>
      <c r="F322" s="96"/>
      <c r="G322" s="97"/>
      <c r="H322" s="96">
        <f t="shared" ref="H322:H385" si="20">COUNTIF(E322:G322,"C")</f>
        <v>0</v>
      </c>
      <c r="I322" s="97">
        <f t="shared" si="19"/>
        <v>0</v>
      </c>
      <c r="J322" s="96">
        <f>'PROGRAMA LECTURA'!AS22</f>
        <v>0</v>
      </c>
    </row>
    <row r="323" spans="1:10" ht="30" x14ac:dyDescent="0.25">
      <c r="A323" s="101" t="s">
        <v>70</v>
      </c>
      <c r="B323" s="96" t="s">
        <v>16</v>
      </c>
      <c r="C323" s="96">
        <v>11</v>
      </c>
      <c r="D323" s="96" t="s">
        <v>57</v>
      </c>
      <c r="E323" s="96"/>
      <c r="F323" s="96"/>
      <c r="G323" s="97"/>
      <c r="H323" s="96">
        <f t="shared" si="20"/>
        <v>0</v>
      </c>
      <c r="I323" s="97">
        <f t="shared" si="19"/>
        <v>0</v>
      </c>
      <c r="J323" s="96">
        <f>'PROGRAMA LECTURA'!AT22</f>
        <v>0</v>
      </c>
    </row>
    <row r="324" spans="1:10" x14ac:dyDescent="0.25">
      <c r="A324" s="101" t="s">
        <v>70</v>
      </c>
      <c r="B324" s="96" t="s">
        <v>16</v>
      </c>
      <c r="C324" s="96">
        <v>11</v>
      </c>
      <c r="D324" s="96" t="s">
        <v>39</v>
      </c>
      <c r="E324" s="96"/>
      <c r="F324" s="96"/>
      <c r="G324" s="97"/>
      <c r="H324" s="96">
        <f t="shared" si="20"/>
        <v>0</v>
      </c>
      <c r="I324" s="97">
        <f t="shared" si="19"/>
        <v>0</v>
      </c>
      <c r="J324" s="96">
        <f>'PROGRAMA LECTURA'!AU22</f>
        <v>0</v>
      </c>
    </row>
    <row r="325" spans="1:10" x14ac:dyDescent="0.25">
      <c r="A325" s="101" t="s">
        <v>70</v>
      </c>
      <c r="B325" s="96" t="s">
        <v>17</v>
      </c>
      <c r="C325" s="96">
        <v>12</v>
      </c>
      <c r="D325" s="96" t="s">
        <v>38</v>
      </c>
      <c r="E325" s="96"/>
      <c r="F325" s="96"/>
      <c r="G325" s="97"/>
      <c r="H325" s="96">
        <f t="shared" si="20"/>
        <v>0</v>
      </c>
      <c r="I325" s="97">
        <f t="shared" si="19"/>
        <v>0</v>
      </c>
      <c r="J325" s="96">
        <f>'PROGRAMA LECTURA'!AV22</f>
        <v>0</v>
      </c>
    </row>
    <row r="326" spans="1:10" x14ac:dyDescent="0.25">
      <c r="A326" s="96" t="s">
        <v>71</v>
      </c>
      <c r="B326" s="96" t="s">
        <v>6</v>
      </c>
      <c r="C326" s="96">
        <v>1</v>
      </c>
      <c r="D326" s="96" t="s">
        <v>38</v>
      </c>
      <c r="E326" s="96" t="s">
        <v>74</v>
      </c>
      <c r="F326" s="96" t="s">
        <v>74</v>
      </c>
      <c r="G326" s="97" t="s">
        <v>74</v>
      </c>
      <c r="H326" s="96">
        <f t="shared" si="20"/>
        <v>3</v>
      </c>
      <c r="I326" s="97">
        <f t="shared" si="19"/>
        <v>1</v>
      </c>
      <c r="J326" s="96" t="str">
        <f>'PROGRAMA LECTURA'!V23</f>
        <v>C</v>
      </c>
    </row>
    <row r="327" spans="1:10" x14ac:dyDescent="0.25">
      <c r="A327" s="96" t="s">
        <v>71</v>
      </c>
      <c r="B327" s="96" t="s">
        <v>6</v>
      </c>
      <c r="C327" s="96">
        <v>1</v>
      </c>
      <c r="D327" s="96" t="s">
        <v>39</v>
      </c>
      <c r="E327" s="96" t="s">
        <v>74</v>
      </c>
      <c r="F327" s="96" t="s">
        <v>74</v>
      </c>
      <c r="G327" s="97" t="s">
        <v>74</v>
      </c>
      <c r="H327" s="96">
        <f t="shared" si="20"/>
        <v>3</v>
      </c>
      <c r="I327" s="97">
        <f t="shared" si="19"/>
        <v>1</v>
      </c>
      <c r="J327" s="96" t="str">
        <f>'PROGRAMA LECTURA'!W23</f>
        <v>C</v>
      </c>
    </row>
    <row r="328" spans="1:10" ht="45" x14ac:dyDescent="0.25">
      <c r="A328" s="96" t="s">
        <v>71</v>
      </c>
      <c r="B328" s="96" t="s">
        <v>7</v>
      </c>
      <c r="C328" s="96">
        <v>2</v>
      </c>
      <c r="D328" s="96" t="s">
        <v>40</v>
      </c>
      <c r="E328" s="96" t="s">
        <v>74</v>
      </c>
      <c r="F328" s="96" t="s">
        <v>74</v>
      </c>
      <c r="G328" s="97" t="s">
        <v>74</v>
      </c>
      <c r="H328" s="96">
        <f t="shared" si="20"/>
        <v>3</v>
      </c>
      <c r="I328" s="97">
        <f t="shared" si="19"/>
        <v>1</v>
      </c>
      <c r="J328" s="96" t="str">
        <f>'PROGRAMA LECTURA'!X23</f>
        <v>C</v>
      </c>
    </row>
    <row r="329" spans="1:10" x14ac:dyDescent="0.25">
      <c r="A329" s="96" t="s">
        <v>71</v>
      </c>
      <c r="B329" s="96" t="s">
        <v>7</v>
      </c>
      <c r="C329" s="96">
        <v>2</v>
      </c>
      <c r="D329" s="96" t="s">
        <v>20</v>
      </c>
      <c r="E329" s="96" t="s">
        <v>74</v>
      </c>
      <c r="F329" s="96" t="s">
        <v>74</v>
      </c>
      <c r="G329" s="97" t="s">
        <v>74</v>
      </c>
      <c r="H329" s="96">
        <f t="shared" si="20"/>
        <v>3</v>
      </c>
      <c r="I329" s="97">
        <f t="shared" si="19"/>
        <v>1</v>
      </c>
      <c r="J329" s="96" t="str">
        <f>'PROGRAMA LECTURA'!Y23</f>
        <v>C</v>
      </c>
    </row>
    <row r="330" spans="1:10" x14ac:dyDescent="0.25">
      <c r="A330" s="96" t="s">
        <v>71</v>
      </c>
      <c r="B330" s="96" t="s">
        <v>8</v>
      </c>
      <c r="C330" s="96">
        <v>3</v>
      </c>
      <c r="D330" s="96" t="s">
        <v>41</v>
      </c>
      <c r="E330" s="96" t="s">
        <v>74</v>
      </c>
      <c r="F330" s="96" t="s">
        <v>74</v>
      </c>
      <c r="G330" s="97" t="s">
        <v>74</v>
      </c>
      <c r="H330" s="96">
        <f t="shared" si="20"/>
        <v>3</v>
      </c>
      <c r="I330" s="97">
        <f t="shared" ref="I330:I361" si="21">H330/3</f>
        <v>1</v>
      </c>
      <c r="J330" s="96" t="str">
        <f>'PROGRAMA LECTURA'!Z23</f>
        <v>C</v>
      </c>
    </row>
    <row r="331" spans="1:10" x14ac:dyDescent="0.25">
      <c r="A331" s="96" t="s">
        <v>71</v>
      </c>
      <c r="B331" s="96" t="s">
        <v>8</v>
      </c>
      <c r="C331" s="96">
        <v>3</v>
      </c>
      <c r="D331" s="96" t="s">
        <v>42</v>
      </c>
      <c r="E331" s="96" t="s">
        <v>74</v>
      </c>
      <c r="F331" s="96" t="s">
        <v>74</v>
      </c>
      <c r="G331" s="97" t="s">
        <v>74</v>
      </c>
      <c r="H331" s="96">
        <f t="shared" si="20"/>
        <v>3</v>
      </c>
      <c r="I331" s="97">
        <f t="shared" si="21"/>
        <v>1</v>
      </c>
      <c r="J331" s="96" t="str">
        <f>'PROGRAMA LECTURA'!AA23</f>
        <v>C</v>
      </c>
    </row>
    <row r="332" spans="1:10" ht="60" x14ac:dyDescent="0.25">
      <c r="A332" s="96" t="s">
        <v>71</v>
      </c>
      <c r="B332" s="96" t="s">
        <v>9</v>
      </c>
      <c r="C332" s="96">
        <v>4</v>
      </c>
      <c r="D332" s="96" t="s">
        <v>43</v>
      </c>
      <c r="E332" s="96" t="s">
        <v>74</v>
      </c>
      <c r="F332" s="96" t="s">
        <v>74</v>
      </c>
      <c r="G332" s="97" t="s">
        <v>74</v>
      </c>
      <c r="H332" s="96">
        <f t="shared" si="20"/>
        <v>3</v>
      </c>
      <c r="I332" s="97">
        <f t="shared" si="21"/>
        <v>1</v>
      </c>
      <c r="J332" s="96" t="str">
        <f>'PROGRAMA LECTURA'!AB23</f>
        <v>C</v>
      </c>
    </row>
    <row r="333" spans="1:10" x14ac:dyDescent="0.25">
      <c r="A333" s="96" t="s">
        <v>71</v>
      </c>
      <c r="B333" s="96" t="s">
        <v>9</v>
      </c>
      <c r="C333" s="96">
        <v>4</v>
      </c>
      <c r="D333" s="96" t="s">
        <v>44</v>
      </c>
      <c r="E333" s="96" t="s">
        <v>74</v>
      </c>
      <c r="F333" s="96" t="s">
        <v>74</v>
      </c>
      <c r="G333" s="97" t="s">
        <v>74</v>
      </c>
      <c r="H333" s="96">
        <f t="shared" si="20"/>
        <v>3</v>
      </c>
      <c r="I333" s="97">
        <f t="shared" si="21"/>
        <v>1</v>
      </c>
      <c r="J333" s="96" t="str">
        <f>'PROGRAMA LECTURA'!AC23</f>
        <v>C</v>
      </c>
    </row>
    <row r="334" spans="1:10" ht="30" x14ac:dyDescent="0.25">
      <c r="A334" s="96" t="s">
        <v>71</v>
      </c>
      <c r="B334" s="96" t="s">
        <v>9</v>
      </c>
      <c r="C334" s="96">
        <v>4</v>
      </c>
      <c r="D334" s="96" t="s">
        <v>45</v>
      </c>
      <c r="E334" s="96" t="s">
        <v>74</v>
      </c>
      <c r="F334" s="96" t="s">
        <v>74</v>
      </c>
      <c r="G334" s="97" t="s">
        <v>74</v>
      </c>
      <c r="H334" s="96">
        <f t="shared" si="20"/>
        <v>3</v>
      </c>
      <c r="I334" s="97">
        <f t="shared" si="21"/>
        <v>1</v>
      </c>
      <c r="J334" s="96" t="str">
        <f>'PROGRAMA LECTURA'!AD23</f>
        <v>C</v>
      </c>
    </row>
    <row r="335" spans="1:10" x14ac:dyDescent="0.25">
      <c r="A335" s="96" t="s">
        <v>71</v>
      </c>
      <c r="B335" s="96" t="s">
        <v>10</v>
      </c>
      <c r="C335" s="96">
        <v>5</v>
      </c>
      <c r="D335" s="96" t="s">
        <v>46</v>
      </c>
      <c r="E335" s="96" t="s">
        <v>74</v>
      </c>
      <c r="F335" s="96" t="s">
        <v>74</v>
      </c>
      <c r="G335" s="97" t="s">
        <v>74</v>
      </c>
      <c r="H335" s="96">
        <f t="shared" si="20"/>
        <v>3</v>
      </c>
      <c r="I335" s="97">
        <f t="shared" si="21"/>
        <v>1</v>
      </c>
      <c r="J335" s="96" t="str">
        <f>'PROGRAMA LECTURA'!AE23</f>
        <v>C</v>
      </c>
    </row>
    <row r="336" spans="1:10" ht="30" x14ac:dyDescent="0.25">
      <c r="A336" s="96" t="s">
        <v>71</v>
      </c>
      <c r="B336" s="96" t="s">
        <v>10</v>
      </c>
      <c r="C336" s="96">
        <v>5</v>
      </c>
      <c r="D336" s="96" t="s">
        <v>47</v>
      </c>
      <c r="E336" s="96" t="s">
        <v>74</v>
      </c>
      <c r="F336" s="96" t="s">
        <v>74</v>
      </c>
      <c r="G336" s="97" t="s">
        <v>74</v>
      </c>
      <c r="H336" s="96">
        <f t="shared" si="20"/>
        <v>3</v>
      </c>
      <c r="I336" s="97">
        <f t="shared" si="21"/>
        <v>1</v>
      </c>
      <c r="J336" s="96" t="str">
        <f>'PROGRAMA LECTURA'!AF23</f>
        <v>C</v>
      </c>
    </row>
    <row r="337" spans="1:10" x14ac:dyDescent="0.25">
      <c r="A337" s="96" t="s">
        <v>71</v>
      </c>
      <c r="B337" s="96" t="s">
        <v>11</v>
      </c>
      <c r="C337" s="96">
        <v>6</v>
      </c>
      <c r="D337" s="96" t="s">
        <v>20</v>
      </c>
      <c r="E337" s="96" t="s">
        <v>74</v>
      </c>
      <c r="F337" s="96" t="s">
        <v>74</v>
      </c>
      <c r="G337" s="97" t="s">
        <v>74</v>
      </c>
      <c r="H337" s="96">
        <f t="shared" si="20"/>
        <v>3</v>
      </c>
      <c r="I337" s="97">
        <f t="shared" si="21"/>
        <v>1</v>
      </c>
      <c r="J337" s="96" t="str">
        <f>'PROGRAMA LECTURA'!AG23</f>
        <v>C</v>
      </c>
    </row>
    <row r="338" spans="1:10" ht="45" x14ac:dyDescent="0.25">
      <c r="A338" s="96" t="s">
        <v>71</v>
      </c>
      <c r="B338" s="96" t="s">
        <v>11</v>
      </c>
      <c r="C338" s="96">
        <v>6</v>
      </c>
      <c r="D338" s="96" t="s">
        <v>48</v>
      </c>
      <c r="E338" s="96" t="s">
        <v>74</v>
      </c>
      <c r="F338" s="96" t="s">
        <v>74</v>
      </c>
      <c r="G338" s="97" t="s">
        <v>74</v>
      </c>
      <c r="H338" s="96">
        <f t="shared" si="20"/>
        <v>3</v>
      </c>
      <c r="I338" s="97">
        <f t="shared" si="21"/>
        <v>1</v>
      </c>
      <c r="J338" s="96" t="str">
        <f>'PROGRAMA LECTURA'!AH23</f>
        <v>C</v>
      </c>
    </row>
    <row r="339" spans="1:10" x14ac:dyDescent="0.25">
      <c r="A339" s="96" t="s">
        <v>71</v>
      </c>
      <c r="B339" s="96" t="s">
        <v>11</v>
      </c>
      <c r="C339" s="96">
        <v>6</v>
      </c>
      <c r="D339" s="96" t="s">
        <v>49</v>
      </c>
      <c r="E339" s="96" t="s">
        <v>75</v>
      </c>
      <c r="F339" s="96" t="s">
        <v>75</v>
      </c>
      <c r="G339" s="97" t="s">
        <v>75</v>
      </c>
      <c r="H339" s="96">
        <f t="shared" si="20"/>
        <v>0</v>
      </c>
      <c r="I339" s="97">
        <f t="shared" si="21"/>
        <v>0</v>
      </c>
      <c r="J339" s="96" t="str">
        <f>'PROGRAMA LECTURA'!AI23</f>
        <v>F</v>
      </c>
    </row>
    <row r="340" spans="1:10" x14ac:dyDescent="0.25">
      <c r="A340" s="96" t="s">
        <v>71</v>
      </c>
      <c r="B340" s="96" t="s">
        <v>12</v>
      </c>
      <c r="C340" s="96">
        <v>7</v>
      </c>
      <c r="D340" s="96" t="s">
        <v>38</v>
      </c>
      <c r="E340" s="96" t="s">
        <v>74</v>
      </c>
      <c r="F340" s="96" t="s">
        <v>74</v>
      </c>
      <c r="G340" s="96" t="s">
        <v>74</v>
      </c>
      <c r="H340" s="96">
        <f t="shared" si="20"/>
        <v>3</v>
      </c>
      <c r="I340" s="97">
        <f t="shared" si="21"/>
        <v>1</v>
      </c>
      <c r="J340" s="96" t="str">
        <f>'PROGRAMA LECTURA'!AJ23</f>
        <v>C</v>
      </c>
    </row>
    <row r="341" spans="1:10" ht="60" x14ac:dyDescent="0.25">
      <c r="A341" s="96" t="s">
        <v>71</v>
      </c>
      <c r="B341" s="96" t="s">
        <v>12</v>
      </c>
      <c r="C341" s="96">
        <v>7</v>
      </c>
      <c r="D341" s="96" t="s">
        <v>87</v>
      </c>
      <c r="E341" s="96"/>
      <c r="F341" s="96"/>
      <c r="G341" s="97"/>
      <c r="H341" s="96">
        <f t="shared" si="20"/>
        <v>0</v>
      </c>
      <c r="I341" s="97">
        <f t="shared" si="21"/>
        <v>0</v>
      </c>
      <c r="J341" s="96" t="str">
        <f>'PROGRAMA LECTURA'!AK23</f>
        <v>F</v>
      </c>
    </row>
    <row r="342" spans="1:10" x14ac:dyDescent="0.25">
      <c r="A342" s="96" t="s">
        <v>71</v>
      </c>
      <c r="B342" s="96" t="s">
        <v>12</v>
      </c>
      <c r="C342" s="96">
        <v>7</v>
      </c>
      <c r="D342" s="96" t="s">
        <v>51</v>
      </c>
      <c r="E342" s="96" t="s">
        <v>76</v>
      </c>
      <c r="F342" s="96" t="s">
        <v>76</v>
      </c>
      <c r="G342" s="97" t="s">
        <v>76</v>
      </c>
      <c r="H342" s="96">
        <f t="shared" si="20"/>
        <v>0</v>
      </c>
      <c r="I342" s="97">
        <f t="shared" si="21"/>
        <v>0</v>
      </c>
      <c r="J342" s="96" t="str">
        <f>'PROGRAMA LECTURA'!AL23</f>
        <v>EP</v>
      </c>
    </row>
    <row r="343" spans="1:10" x14ac:dyDescent="0.25">
      <c r="A343" s="96" t="s">
        <v>71</v>
      </c>
      <c r="B343" s="96" t="s">
        <v>13</v>
      </c>
      <c r="C343" s="96">
        <v>8</v>
      </c>
      <c r="D343" s="96" t="s">
        <v>52</v>
      </c>
      <c r="E343" s="96"/>
      <c r="F343" s="96"/>
      <c r="G343" s="96"/>
      <c r="H343" s="96">
        <f t="shared" si="20"/>
        <v>0</v>
      </c>
      <c r="I343" s="97">
        <f t="shared" si="21"/>
        <v>0</v>
      </c>
      <c r="J343" s="96">
        <f>'PROGRAMA LECTURA'!AM23</f>
        <v>0</v>
      </c>
    </row>
    <row r="344" spans="1:10" x14ac:dyDescent="0.25">
      <c r="A344" s="96" t="s">
        <v>71</v>
      </c>
      <c r="B344" s="96" t="s">
        <v>13</v>
      </c>
      <c r="C344" s="96">
        <v>8</v>
      </c>
      <c r="D344" s="96" t="s">
        <v>53</v>
      </c>
      <c r="E344" s="96"/>
      <c r="F344" s="96"/>
      <c r="G344" s="96"/>
      <c r="H344" s="96">
        <f t="shared" si="20"/>
        <v>0</v>
      </c>
      <c r="I344" s="97">
        <f t="shared" si="21"/>
        <v>0</v>
      </c>
      <c r="J344" s="96">
        <f>'PROGRAMA LECTURA'!AN23</f>
        <v>0</v>
      </c>
    </row>
    <row r="345" spans="1:10" ht="30" x14ac:dyDescent="0.25">
      <c r="A345" s="96" t="s">
        <v>71</v>
      </c>
      <c r="B345" s="96" t="s">
        <v>13</v>
      </c>
      <c r="C345" s="96">
        <v>8</v>
      </c>
      <c r="D345" s="96" t="s">
        <v>54</v>
      </c>
      <c r="E345" s="96"/>
      <c r="F345" s="96"/>
      <c r="G345" s="96"/>
      <c r="H345" s="96">
        <f t="shared" si="20"/>
        <v>0</v>
      </c>
      <c r="I345" s="97">
        <f t="shared" si="21"/>
        <v>0</v>
      </c>
      <c r="J345" s="96">
        <f>'PROGRAMA LECTURA'!AO23</f>
        <v>0</v>
      </c>
    </row>
    <row r="346" spans="1:10" x14ac:dyDescent="0.25">
      <c r="A346" s="96" t="s">
        <v>71</v>
      </c>
      <c r="B346" s="96" t="s">
        <v>14</v>
      </c>
      <c r="C346" s="96">
        <v>9</v>
      </c>
      <c r="D346" s="96" t="s">
        <v>55</v>
      </c>
      <c r="E346" s="96"/>
      <c r="F346" s="96"/>
      <c r="G346" s="96"/>
      <c r="H346" s="96">
        <f t="shared" si="20"/>
        <v>0</v>
      </c>
      <c r="I346" s="97">
        <f t="shared" si="21"/>
        <v>0</v>
      </c>
      <c r="J346" s="96">
        <f>'PROGRAMA LECTURA'!AP23</f>
        <v>0</v>
      </c>
    </row>
    <row r="347" spans="1:10" x14ac:dyDescent="0.25">
      <c r="A347" s="96" t="s">
        <v>71</v>
      </c>
      <c r="B347" s="96" t="s">
        <v>14</v>
      </c>
      <c r="C347" s="96">
        <v>9</v>
      </c>
      <c r="D347" s="96" t="s">
        <v>56</v>
      </c>
      <c r="E347" s="96"/>
      <c r="F347" s="96"/>
      <c r="G347" s="96"/>
      <c r="H347" s="96">
        <f t="shared" si="20"/>
        <v>0</v>
      </c>
      <c r="I347" s="97">
        <f t="shared" si="21"/>
        <v>0</v>
      </c>
      <c r="J347" s="96">
        <f>'PROGRAMA LECTURA'!AQ23</f>
        <v>0</v>
      </c>
    </row>
    <row r="348" spans="1:10" x14ac:dyDescent="0.25">
      <c r="A348" s="96" t="s">
        <v>71</v>
      </c>
      <c r="B348" s="96" t="s">
        <v>15</v>
      </c>
      <c r="C348" s="96">
        <v>10</v>
      </c>
      <c r="D348" s="96" t="s">
        <v>20</v>
      </c>
      <c r="E348" s="96"/>
      <c r="F348" s="96"/>
      <c r="G348" s="96"/>
      <c r="H348" s="96">
        <f t="shared" si="20"/>
        <v>0</v>
      </c>
      <c r="I348" s="97">
        <f t="shared" si="21"/>
        <v>0</v>
      </c>
      <c r="J348" s="96">
        <f>'PROGRAMA LECTURA'!AR23</f>
        <v>0</v>
      </c>
    </row>
    <row r="349" spans="1:10" x14ac:dyDescent="0.25">
      <c r="A349" s="96" t="s">
        <v>71</v>
      </c>
      <c r="B349" s="96" t="s">
        <v>15</v>
      </c>
      <c r="C349" s="96">
        <v>10</v>
      </c>
      <c r="D349" s="96" t="s">
        <v>42</v>
      </c>
      <c r="E349" s="96"/>
      <c r="F349" s="96"/>
      <c r="G349" s="96"/>
      <c r="H349" s="96">
        <f t="shared" si="20"/>
        <v>0</v>
      </c>
      <c r="I349" s="97">
        <f t="shared" si="21"/>
        <v>0</v>
      </c>
      <c r="J349" s="96">
        <f>'PROGRAMA LECTURA'!AS23</f>
        <v>0</v>
      </c>
    </row>
    <row r="350" spans="1:10" ht="30" x14ac:dyDescent="0.25">
      <c r="A350" s="96" t="s">
        <v>71</v>
      </c>
      <c r="B350" s="96" t="s">
        <v>16</v>
      </c>
      <c r="C350" s="96">
        <v>11</v>
      </c>
      <c r="D350" s="96" t="s">
        <v>57</v>
      </c>
      <c r="E350" s="96"/>
      <c r="F350" s="96"/>
      <c r="G350" s="96"/>
      <c r="H350" s="96">
        <f t="shared" si="20"/>
        <v>0</v>
      </c>
      <c r="I350" s="97">
        <f t="shared" si="21"/>
        <v>0</v>
      </c>
      <c r="J350" s="96">
        <f>'PROGRAMA LECTURA'!AT23</f>
        <v>0</v>
      </c>
    </row>
    <row r="351" spans="1:10" x14ac:dyDescent="0.25">
      <c r="A351" s="96" t="s">
        <v>71</v>
      </c>
      <c r="B351" s="96" t="s">
        <v>16</v>
      </c>
      <c r="C351" s="96">
        <v>11</v>
      </c>
      <c r="D351" s="96" t="s">
        <v>39</v>
      </c>
      <c r="E351" s="96"/>
      <c r="F351" s="96"/>
      <c r="G351" s="96"/>
      <c r="H351" s="96">
        <f t="shared" si="20"/>
        <v>0</v>
      </c>
      <c r="I351" s="97">
        <f t="shared" si="21"/>
        <v>0</v>
      </c>
      <c r="J351" s="96">
        <f>'PROGRAMA LECTURA'!AU23</f>
        <v>0</v>
      </c>
    </row>
    <row r="352" spans="1:10" x14ac:dyDescent="0.25">
      <c r="A352" s="96" t="s">
        <v>71</v>
      </c>
      <c r="B352" s="96" t="s">
        <v>17</v>
      </c>
      <c r="C352" s="96">
        <v>12</v>
      </c>
      <c r="D352" s="96" t="s">
        <v>38</v>
      </c>
      <c r="E352" s="96"/>
      <c r="F352" s="96"/>
      <c r="G352" s="96"/>
      <c r="H352" s="96">
        <f t="shared" si="20"/>
        <v>0</v>
      </c>
      <c r="I352" s="97">
        <f t="shared" si="21"/>
        <v>0</v>
      </c>
      <c r="J352" s="96">
        <f>'PROGRAMA LECTURA'!AV23</f>
        <v>0</v>
      </c>
    </row>
    <row r="353" spans="1:10" x14ac:dyDescent="0.25">
      <c r="A353" s="101" t="s">
        <v>72</v>
      </c>
      <c r="B353" s="96" t="s">
        <v>6</v>
      </c>
      <c r="C353" s="96">
        <v>1</v>
      </c>
      <c r="D353" s="96" t="s">
        <v>38</v>
      </c>
      <c r="E353" s="96" t="s">
        <v>74</v>
      </c>
      <c r="F353" s="96" t="s">
        <v>74</v>
      </c>
      <c r="G353" s="97" t="s">
        <v>74</v>
      </c>
      <c r="H353" s="96">
        <f t="shared" si="20"/>
        <v>3</v>
      </c>
      <c r="I353" s="97">
        <f t="shared" si="21"/>
        <v>1</v>
      </c>
      <c r="J353" s="96" t="str">
        <f>'PROGRAMA LECTURA'!V24</f>
        <v>C</v>
      </c>
    </row>
    <row r="354" spans="1:10" x14ac:dyDescent="0.25">
      <c r="A354" s="101" t="s">
        <v>72</v>
      </c>
      <c r="B354" s="96" t="s">
        <v>6</v>
      </c>
      <c r="C354" s="96">
        <v>1</v>
      </c>
      <c r="D354" s="96" t="s">
        <v>39</v>
      </c>
      <c r="E354" s="96" t="s">
        <v>74</v>
      </c>
      <c r="F354" s="96" t="s">
        <v>74</v>
      </c>
      <c r="G354" s="97" t="s">
        <v>74</v>
      </c>
      <c r="H354" s="96">
        <f t="shared" si="20"/>
        <v>3</v>
      </c>
      <c r="I354" s="97">
        <f t="shared" si="21"/>
        <v>1</v>
      </c>
      <c r="J354" s="96" t="str">
        <f>'PROGRAMA LECTURA'!W24</f>
        <v>C</v>
      </c>
    </row>
    <row r="355" spans="1:10" ht="45" x14ac:dyDescent="0.25">
      <c r="A355" s="101" t="s">
        <v>72</v>
      </c>
      <c r="B355" s="96" t="s">
        <v>7</v>
      </c>
      <c r="C355" s="96">
        <v>2</v>
      </c>
      <c r="D355" s="96" t="s">
        <v>40</v>
      </c>
      <c r="E355" s="96" t="s">
        <v>74</v>
      </c>
      <c r="F355" s="96" t="s">
        <v>74</v>
      </c>
      <c r="G355" s="97" t="s">
        <v>74</v>
      </c>
      <c r="H355" s="96">
        <f t="shared" si="20"/>
        <v>3</v>
      </c>
      <c r="I355" s="97">
        <f t="shared" si="21"/>
        <v>1</v>
      </c>
      <c r="J355" s="96" t="str">
        <f>'PROGRAMA LECTURA'!X24</f>
        <v>C</v>
      </c>
    </row>
    <row r="356" spans="1:10" x14ac:dyDescent="0.25">
      <c r="A356" s="101" t="s">
        <v>72</v>
      </c>
      <c r="B356" s="96" t="s">
        <v>7</v>
      </c>
      <c r="C356" s="96">
        <v>2</v>
      </c>
      <c r="D356" s="96" t="s">
        <v>20</v>
      </c>
      <c r="E356" s="96" t="s">
        <v>74</v>
      </c>
      <c r="F356" s="96" t="s">
        <v>74</v>
      </c>
      <c r="G356" s="97" t="s">
        <v>74</v>
      </c>
      <c r="H356" s="96">
        <f t="shared" si="20"/>
        <v>3</v>
      </c>
      <c r="I356" s="97">
        <f t="shared" si="21"/>
        <v>1</v>
      </c>
      <c r="J356" s="96" t="str">
        <f>'PROGRAMA LECTURA'!Y24</f>
        <v>C</v>
      </c>
    </row>
    <row r="357" spans="1:10" x14ac:dyDescent="0.25">
      <c r="A357" s="101" t="s">
        <v>72</v>
      </c>
      <c r="B357" s="96" t="s">
        <v>8</v>
      </c>
      <c r="C357" s="96">
        <v>3</v>
      </c>
      <c r="D357" s="96" t="s">
        <v>41</v>
      </c>
      <c r="E357" s="96" t="s">
        <v>74</v>
      </c>
      <c r="F357" s="96" t="s">
        <v>74</v>
      </c>
      <c r="G357" s="97" t="s">
        <v>74</v>
      </c>
      <c r="H357" s="96">
        <f t="shared" si="20"/>
        <v>3</v>
      </c>
      <c r="I357" s="97">
        <f t="shared" si="21"/>
        <v>1</v>
      </c>
      <c r="J357" s="96" t="str">
        <f>'PROGRAMA LECTURA'!Z24</f>
        <v>C</v>
      </c>
    </row>
    <row r="358" spans="1:10" x14ac:dyDescent="0.25">
      <c r="A358" s="101" t="s">
        <v>72</v>
      </c>
      <c r="B358" s="96" t="s">
        <v>8</v>
      </c>
      <c r="C358" s="96">
        <v>3</v>
      </c>
      <c r="D358" s="96" t="s">
        <v>42</v>
      </c>
      <c r="E358" s="96" t="s">
        <v>74</v>
      </c>
      <c r="F358" s="96" t="s">
        <v>74</v>
      </c>
      <c r="G358" s="97" t="s">
        <v>74</v>
      </c>
      <c r="H358" s="96">
        <f t="shared" si="20"/>
        <v>3</v>
      </c>
      <c r="I358" s="97">
        <f t="shared" si="21"/>
        <v>1</v>
      </c>
      <c r="J358" s="96" t="str">
        <f>'PROGRAMA LECTURA'!AA24</f>
        <v>C</v>
      </c>
    </row>
    <row r="359" spans="1:10" ht="60" x14ac:dyDescent="0.25">
      <c r="A359" s="101" t="s">
        <v>72</v>
      </c>
      <c r="B359" s="96" t="s">
        <v>9</v>
      </c>
      <c r="C359" s="96">
        <v>4</v>
      </c>
      <c r="D359" s="96" t="s">
        <v>43</v>
      </c>
      <c r="E359" s="96" t="s">
        <v>74</v>
      </c>
      <c r="F359" s="96" t="s">
        <v>74</v>
      </c>
      <c r="G359" s="97" t="s">
        <v>74</v>
      </c>
      <c r="H359" s="96">
        <f t="shared" si="20"/>
        <v>3</v>
      </c>
      <c r="I359" s="97">
        <f t="shared" si="21"/>
        <v>1</v>
      </c>
      <c r="J359" s="96" t="str">
        <f>'PROGRAMA LECTURA'!AB24</f>
        <v>C</v>
      </c>
    </row>
    <row r="360" spans="1:10" x14ac:dyDescent="0.25">
      <c r="A360" s="101" t="s">
        <v>72</v>
      </c>
      <c r="B360" s="96" t="s">
        <v>9</v>
      </c>
      <c r="C360" s="96">
        <v>4</v>
      </c>
      <c r="D360" s="96" t="s">
        <v>44</v>
      </c>
      <c r="E360" s="96" t="s">
        <v>74</v>
      </c>
      <c r="F360" s="96" t="s">
        <v>74</v>
      </c>
      <c r="G360" s="97" t="s">
        <v>74</v>
      </c>
      <c r="H360" s="96">
        <f t="shared" si="20"/>
        <v>3</v>
      </c>
      <c r="I360" s="97">
        <f t="shared" si="21"/>
        <v>1</v>
      </c>
      <c r="J360" s="96" t="str">
        <f>'PROGRAMA LECTURA'!AC24</f>
        <v>C</v>
      </c>
    </row>
    <row r="361" spans="1:10" ht="30" x14ac:dyDescent="0.25">
      <c r="A361" s="101" t="s">
        <v>72</v>
      </c>
      <c r="B361" s="96" t="s">
        <v>9</v>
      </c>
      <c r="C361" s="96">
        <v>4</v>
      </c>
      <c r="D361" s="96" t="s">
        <v>45</v>
      </c>
      <c r="E361" s="96" t="s">
        <v>74</v>
      </c>
      <c r="F361" s="96" t="s">
        <v>74</v>
      </c>
      <c r="G361" s="97" t="s">
        <v>74</v>
      </c>
      <c r="H361" s="96">
        <f t="shared" si="20"/>
        <v>3</v>
      </c>
      <c r="I361" s="97">
        <f t="shared" si="21"/>
        <v>1</v>
      </c>
      <c r="J361" s="96" t="str">
        <f>'PROGRAMA LECTURA'!AD24</f>
        <v>C</v>
      </c>
    </row>
    <row r="362" spans="1:10" x14ac:dyDescent="0.25">
      <c r="A362" s="101" t="s">
        <v>72</v>
      </c>
      <c r="B362" s="96" t="s">
        <v>10</v>
      </c>
      <c r="C362" s="96">
        <v>5</v>
      </c>
      <c r="D362" s="96" t="s">
        <v>46</v>
      </c>
      <c r="E362" s="96" t="s">
        <v>74</v>
      </c>
      <c r="F362" s="96" t="s">
        <v>74</v>
      </c>
      <c r="G362" s="97" t="s">
        <v>74</v>
      </c>
      <c r="H362" s="96">
        <f t="shared" si="20"/>
        <v>3</v>
      </c>
      <c r="I362" s="97">
        <f t="shared" ref="I362:I393" si="22">H362/3</f>
        <v>1</v>
      </c>
      <c r="J362" s="96" t="str">
        <f>'PROGRAMA LECTURA'!AE24</f>
        <v>C</v>
      </c>
    </row>
    <row r="363" spans="1:10" ht="30" x14ac:dyDescent="0.25">
      <c r="A363" s="101" t="s">
        <v>72</v>
      </c>
      <c r="B363" s="96" t="s">
        <v>10</v>
      </c>
      <c r="C363" s="96">
        <v>5</v>
      </c>
      <c r="D363" s="96" t="s">
        <v>47</v>
      </c>
      <c r="E363" s="96" t="s">
        <v>74</v>
      </c>
      <c r="F363" s="96" t="s">
        <v>74</v>
      </c>
      <c r="G363" s="97" t="s">
        <v>74</v>
      </c>
      <c r="H363" s="96">
        <f t="shared" si="20"/>
        <v>3</v>
      </c>
      <c r="I363" s="97">
        <f t="shared" si="22"/>
        <v>1</v>
      </c>
      <c r="J363" s="96" t="str">
        <f>'PROGRAMA LECTURA'!AF24</f>
        <v>C</v>
      </c>
    </row>
    <row r="364" spans="1:10" x14ac:dyDescent="0.25">
      <c r="A364" s="101" t="s">
        <v>72</v>
      </c>
      <c r="B364" s="96" t="s">
        <v>11</v>
      </c>
      <c r="C364" s="96">
        <v>6</v>
      </c>
      <c r="D364" s="96" t="s">
        <v>20</v>
      </c>
      <c r="E364" s="96" t="s">
        <v>74</v>
      </c>
      <c r="F364" s="96" t="s">
        <v>74</v>
      </c>
      <c r="G364" s="97" t="s">
        <v>74</v>
      </c>
      <c r="H364" s="96">
        <f t="shared" si="20"/>
        <v>3</v>
      </c>
      <c r="I364" s="97">
        <f t="shared" si="22"/>
        <v>1</v>
      </c>
      <c r="J364" s="96" t="str">
        <f>'PROGRAMA LECTURA'!AG24</f>
        <v>C</v>
      </c>
    </row>
    <row r="365" spans="1:10" ht="45" x14ac:dyDescent="0.25">
      <c r="A365" s="101" t="s">
        <v>72</v>
      </c>
      <c r="B365" s="96" t="s">
        <v>11</v>
      </c>
      <c r="C365" s="96">
        <v>6</v>
      </c>
      <c r="D365" s="96" t="s">
        <v>48</v>
      </c>
      <c r="E365" s="96" t="s">
        <v>74</v>
      </c>
      <c r="F365" s="96" t="s">
        <v>74</v>
      </c>
      <c r="G365" s="97" t="s">
        <v>74</v>
      </c>
      <c r="H365" s="96">
        <f t="shared" si="20"/>
        <v>3</v>
      </c>
      <c r="I365" s="97">
        <f t="shared" si="22"/>
        <v>1</v>
      </c>
      <c r="J365" s="96" t="str">
        <f>'PROGRAMA LECTURA'!AH24</f>
        <v>C</v>
      </c>
    </row>
    <row r="366" spans="1:10" x14ac:dyDescent="0.25">
      <c r="A366" s="101" t="s">
        <v>72</v>
      </c>
      <c r="B366" s="96" t="s">
        <v>11</v>
      </c>
      <c r="C366" s="96">
        <v>6</v>
      </c>
      <c r="D366" s="96" t="s">
        <v>49</v>
      </c>
      <c r="E366" s="96" t="s">
        <v>75</v>
      </c>
      <c r="F366" s="96" t="s">
        <v>75</v>
      </c>
      <c r="G366" s="97" t="s">
        <v>75</v>
      </c>
      <c r="H366" s="96">
        <f t="shared" si="20"/>
        <v>0</v>
      </c>
      <c r="I366" s="97">
        <f t="shared" si="22"/>
        <v>0</v>
      </c>
      <c r="J366" s="96" t="str">
        <f>'PROGRAMA LECTURA'!AI24</f>
        <v>F</v>
      </c>
    </row>
    <row r="367" spans="1:10" x14ac:dyDescent="0.25">
      <c r="A367" s="101" t="s">
        <v>72</v>
      </c>
      <c r="B367" s="96" t="s">
        <v>12</v>
      </c>
      <c r="C367" s="96">
        <v>7</v>
      </c>
      <c r="D367" s="96" t="s">
        <v>38</v>
      </c>
      <c r="E367" s="96" t="s">
        <v>74</v>
      </c>
      <c r="F367" s="96" t="s">
        <v>74</v>
      </c>
      <c r="G367" s="96" t="s">
        <v>74</v>
      </c>
      <c r="H367" s="96">
        <f t="shared" si="20"/>
        <v>3</v>
      </c>
      <c r="I367" s="97">
        <f t="shared" si="22"/>
        <v>1</v>
      </c>
      <c r="J367" s="96" t="str">
        <f>'PROGRAMA LECTURA'!AJ24</f>
        <v>C</v>
      </c>
    </row>
    <row r="368" spans="1:10" ht="60" x14ac:dyDescent="0.25">
      <c r="A368" s="101" t="s">
        <v>72</v>
      </c>
      <c r="B368" s="96" t="s">
        <v>12</v>
      </c>
      <c r="C368" s="96">
        <v>7</v>
      </c>
      <c r="D368" s="96" t="s">
        <v>87</v>
      </c>
      <c r="E368" s="96"/>
      <c r="F368" s="96"/>
      <c r="G368" s="97"/>
      <c r="H368" s="96">
        <f t="shared" si="20"/>
        <v>0</v>
      </c>
      <c r="I368" s="97">
        <f t="shared" si="22"/>
        <v>0</v>
      </c>
      <c r="J368" s="96" t="str">
        <f>'PROGRAMA LECTURA'!AK24</f>
        <v>F</v>
      </c>
    </row>
    <row r="369" spans="1:10" x14ac:dyDescent="0.25">
      <c r="A369" s="101" t="s">
        <v>72</v>
      </c>
      <c r="B369" s="96" t="s">
        <v>12</v>
      </c>
      <c r="C369" s="96">
        <v>7</v>
      </c>
      <c r="D369" s="96" t="s">
        <v>51</v>
      </c>
      <c r="E369" s="96" t="s">
        <v>76</v>
      </c>
      <c r="F369" s="96" t="s">
        <v>76</v>
      </c>
      <c r="G369" s="97" t="s">
        <v>76</v>
      </c>
      <c r="H369" s="96">
        <f t="shared" si="20"/>
        <v>0</v>
      </c>
      <c r="I369" s="97">
        <f t="shared" si="22"/>
        <v>0</v>
      </c>
      <c r="J369" s="96" t="str">
        <f>'PROGRAMA LECTURA'!AL24</f>
        <v>EP</v>
      </c>
    </row>
    <row r="370" spans="1:10" x14ac:dyDescent="0.25">
      <c r="A370" s="101" t="s">
        <v>72</v>
      </c>
      <c r="B370" s="96" t="s">
        <v>13</v>
      </c>
      <c r="C370" s="96">
        <v>8</v>
      </c>
      <c r="D370" s="96" t="s">
        <v>52</v>
      </c>
      <c r="E370" s="96"/>
      <c r="F370" s="96"/>
      <c r="G370" s="96"/>
      <c r="H370" s="96">
        <f t="shared" si="20"/>
        <v>0</v>
      </c>
      <c r="I370" s="97">
        <f t="shared" si="22"/>
        <v>0</v>
      </c>
      <c r="J370" s="96">
        <f>'PROGRAMA LECTURA'!AM24</f>
        <v>0</v>
      </c>
    </row>
    <row r="371" spans="1:10" x14ac:dyDescent="0.25">
      <c r="A371" s="101" t="s">
        <v>72</v>
      </c>
      <c r="B371" s="96" t="s">
        <v>13</v>
      </c>
      <c r="C371" s="96">
        <v>8</v>
      </c>
      <c r="D371" s="96" t="s">
        <v>53</v>
      </c>
      <c r="E371" s="96"/>
      <c r="F371" s="96"/>
      <c r="G371" s="96"/>
      <c r="H371" s="96">
        <f t="shared" si="20"/>
        <v>0</v>
      </c>
      <c r="I371" s="97">
        <f t="shared" si="22"/>
        <v>0</v>
      </c>
      <c r="J371" s="96">
        <f>'PROGRAMA LECTURA'!AN24</f>
        <v>0</v>
      </c>
    </row>
    <row r="372" spans="1:10" ht="30" x14ac:dyDescent="0.25">
      <c r="A372" s="101" t="s">
        <v>72</v>
      </c>
      <c r="B372" s="96" t="s">
        <v>13</v>
      </c>
      <c r="C372" s="96">
        <v>8</v>
      </c>
      <c r="D372" s="96" t="s">
        <v>54</v>
      </c>
      <c r="E372" s="96"/>
      <c r="F372" s="96"/>
      <c r="G372" s="96"/>
      <c r="H372" s="96">
        <f t="shared" si="20"/>
        <v>0</v>
      </c>
      <c r="I372" s="97">
        <f t="shared" si="22"/>
        <v>0</v>
      </c>
      <c r="J372" s="96">
        <f>'PROGRAMA LECTURA'!AO24</f>
        <v>0</v>
      </c>
    </row>
    <row r="373" spans="1:10" x14ac:dyDescent="0.25">
      <c r="A373" s="101" t="s">
        <v>72</v>
      </c>
      <c r="B373" s="96" t="s">
        <v>14</v>
      </c>
      <c r="C373" s="96">
        <v>9</v>
      </c>
      <c r="D373" s="96" t="s">
        <v>55</v>
      </c>
      <c r="E373" s="96"/>
      <c r="F373" s="96"/>
      <c r="G373" s="96"/>
      <c r="H373" s="96">
        <f t="shared" si="20"/>
        <v>0</v>
      </c>
      <c r="I373" s="97">
        <f t="shared" si="22"/>
        <v>0</v>
      </c>
      <c r="J373" s="96">
        <f>'PROGRAMA LECTURA'!AP24</f>
        <v>0</v>
      </c>
    </row>
    <row r="374" spans="1:10" x14ac:dyDescent="0.25">
      <c r="A374" s="101" t="s">
        <v>72</v>
      </c>
      <c r="B374" s="96" t="s">
        <v>14</v>
      </c>
      <c r="C374" s="96">
        <v>9</v>
      </c>
      <c r="D374" s="96" t="s">
        <v>56</v>
      </c>
      <c r="E374" s="96"/>
      <c r="F374" s="96"/>
      <c r="G374" s="96"/>
      <c r="H374" s="96">
        <f t="shared" si="20"/>
        <v>0</v>
      </c>
      <c r="I374" s="97">
        <f t="shared" si="22"/>
        <v>0</v>
      </c>
      <c r="J374" s="96">
        <f>'PROGRAMA LECTURA'!AQ24</f>
        <v>0</v>
      </c>
    </row>
    <row r="375" spans="1:10" x14ac:dyDescent="0.25">
      <c r="A375" s="101" t="s">
        <v>72</v>
      </c>
      <c r="B375" s="96" t="s">
        <v>15</v>
      </c>
      <c r="C375" s="96">
        <v>10</v>
      </c>
      <c r="D375" s="96" t="s">
        <v>20</v>
      </c>
      <c r="E375" s="96"/>
      <c r="F375" s="96"/>
      <c r="G375" s="96"/>
      <c r="H375" s="96">
        <f t="shared" si="20"/>
        <v>0</v>
      </c>
      <c r="I375" s="97">
        <f t="shared" si="22"/>
        <v>0</v>
      </c>
      <c r="J375" s="96">
        <f>'PROGRAMA LECTURA'!AR24</f>
        <v>0</v>
      </c>
    </row>
    <row r="376" spans="1:10" x14ac:dyDescent="0.25">
      <c r="A376" s="101" t="s">
        <v>72</v>
      </c>
      <c r="B376" s="96" t="s">
        <v>15</v>
      </c>
      <c r="C376" s="96">
        <v>10</v>
      </c>
      <c r="D376" s="96" t="s">
        <v>42</v>
      </c>
      <c r="E376" s="96"/>
      <c r="F376" s="96"/>
      <c r="G376" s="96"/>
      <c r="H376" s="96">
        <f t="shared" si="20"/>
        <v>0</v>
      </c>
      <c r="I376" s="97">
        <f t="shared" si="22"/>
        <v>0</v>
      </c>
      <c r="J376" s="96">
        <f>'PROGRAMA LECTURA'!AS24</f>
        <v>0</v>
      </c>
    </row>
    <row r="377" spans="1:10" ht="30" x14ac:dyDescent="0.25">
      <c r="A377" s="101" t="s">
        <v>72</v>
      </c>
      <c r="B377" s="96" t="s">
        <v>16</v>
      </c>
      <c r="C377" s="96">
        <v>11</v>
      </c>
      <c r="D377" s="96" t="s">
        <v>57</v>
      </c>
      <c r="E377" s="96"/>
      <c r="F377" s="96"/>
      <c r="G377" s="96"/>
      <c r="H377" s="96">
        <f t="shared" si="20"/>
        <v>0</v>
      </c>
      <c r="I377" s="97">
        <f t="shared" si="22"/>
        <v>0</v>
      </c>
      <c r="J377" s="96">
        <f>'PROGRAMA LECTURA'!AT24</f>
        <v>0</v>
      </c>
    </row>
    <row r="378" spans="1:10" x14ac:dyDescent="0.25">
      <c r="A378" s="101" t="s">
        <v>72</v>
      </c>
      <c r="B378" s="96" t="s">
        <v>16</v>
      </c>
      <c r="C378" s="96">
        <v>11</v>
      </c>
      <c r="D378" s="96" t="s">
        <v>39</v>
      </c>
      <c r="E378" s="96"/>
      <c r="F378" s="96"/>
      <c r="G378" s="96"/>
      <c r="H378" s="96">
        <f t="shared" si="20"/>
        <v>0</v>
      </c>
      <c r="I378" s="97">
        <f t="shared" si="22"/>
        <v>0</v>
      </c>
      <c r="J378" s="96">
        <f>'PROGRAMA LECTURA'!AU24</f>
        <v>0</v>
      </c>
    </row>
    <row r="379" spans="1:10" x14ac:dyDescent="0.25">
      <c r="A379" s="101" t="s">
        <v>72</v>
      </c>
      <c r="B379" s="96" t="s">
        <v>17</v>
      </c>
      <c r="C379" s="96">
        <v>12</v>
      </c>
      <c r="D379" s="96" t="s">
        <v>38</v>
      </c>
      <c r="E379" s="96"/>
      <c r="F379" s="96"/>
      <c r="G379" s="96"/>
      <c r="H379" s="96">
        <f t="shared" si="20"/>
        <v>0</v>
      </c>
      <c r="I379" s="97">
        <f t="shared" si="22"/>
        <v>0</v>
      </c>
      <c r="J379" s="96">
        <f>'PROGRAMA LECTURA'!AV24</f>
        <v>0</v>
      </c>
    </row>
    <row r="380" spans="1:10" x14ac:dyDescent="0.25">
      <c r="A380" s="96" t="s">
        <v>73</v>
      </c>
      <c r="B380" s="96" t="s">
        <v>6</v>
      </c>
      <c r="C380" s="96">
        <v>1</v>
      </c>
      <c r="D380" s="96" t="s">
        <v>38</v>
      </c>
      <c r="E380" s="96" t="s">
        <v>74</v>
      </c>
      <c r="F380" s="96" t="s">
        <v>74</v>
      </c>
      <c r="G380" s="97" t="s">
        <v>74</v>
      </c>
      <c r="H380" s="96">
        <f t="shared" si="20"/>
        <v>3</v>
      </c>
      <c r="I380" s="97">
        <f t="shared" si="22"/>
        <v>1</v>
      </c>
      <c r="J380" s="96" t="str">
        <f>'PROGRAMA LECTURA'!V25</f>
        <v>C</v>
      </c>
    </row>
    <row r="381" spans="1:10" x14ac:dyDescent="0.25">
      <c r="A381" s="96" t="s">
        <v>73</v>
      </c>
      <c r="B381" s="96" t="s">
        <v>6</v>
      </c>
      <c r="C381" s="96">
        <v>1</v>
      </c>
      <c r="D381" s="96" t="s">
        <v>39</v>
      </c>
      <c r="E381" s="96" t="s">
        <v>74</v>
      </c>
      <c r="F381" s="96" t="s">
        <v>74</v>
      </c>
      <c r="G381" s="97" t="s">
        <v>74</v>
      </c>
      <c r="H381" s="96">
        <f t="shared" si="20"/>
        <v>3</v>
      </c>
      <c r="I381" s="97">
        <f t="shared" si="22"/>
        <v>1</v>
      </c>
      <c r="J381" s="96" t="str">
        <f>'PROGRAMA LECTURA'!W25</f>
        <v>C</v>
      </c>
    </row>
    <row r="382" spans="1:10" ht="45" x14ac:dyDescent="0.25">
      <c r="A382" s="96" t="s">
        <v>73</v>
      </c>
      <c r="B382" s="96" t="s">
        <v>7</v>
      </c>
      <c r="C382" s="96">
        <v>2</v>
      </c>
      <c r="D382" s="96" t="s">
        <v>40</v>
      </c>
      <c r="E382" s="96" t="s">
        <v>74</v>
      </c>
      <c r="F382" s="96" t="s">
        <v>74</v>
      </c>
      <c r="G382" s="97" t="s">
        <v>74</v>
      </c>
      <c r="H382" s="96">
        <f t="shared" si="20"/>
        <v>3</v>
      </c>
      <c r="I382" s="97">
        <f t="shared" si="22"/>
        <v>1</v>
      </c>
      <c r="J382" s="96" t="str">
        <f>'PROGRAMA LECTURA'!X25</f>
        <v>C</v>
      </c>
    </row>
    <row r="383" spans="1:10" x14ac:dyDescent="0.25">
      <c r="A383" s="96" t="s">
        <v>73</v>
      </c>
      <c r="B383" s="96" t="s">
        <v>7</v>
      </c>
      <c r="C383" s="96">
        <v>2</v>
      </c>
      <c r="D383" s="96" t="s">
        <v>20</v>
      </c>
      <c r="E383" s="96" t="s">
        <v>74</v>
      </c>
      <c r="F383" s="96" t="s">
        <v>74</v>
      </c>
      <c r="G383" s="97" t="s">
        <v>74</v>
      </c>
      <c r="H383" s="96">
        <f t="shared" si="20"/>
        <v>3</v>
      </c>
      <c r="I383" s="97">
        <f t="shared" si="22"/>
        <v>1</v>
      </c>
      <c r="J383" s="96" t="str">
        <f>'PROGRAMA LECTURA'!Y25</f>
        <v>C</v>
      </c>
    </row>
    <row r="384" spans="1:10" x14ac:dyDescent="0.25">
      <c r="A384" s="96" t="s">
        <v>73</v>
      </c>
      <c r="B384" s="96" t="s">
        <v>8</v>
      </c>
      <c r="C384" s="96">
        <v>3</v>
      </c>
      <c r="D384" s="96" t="s">
        <v>41</v>
      </c>
      <c r="E384" s="96" t="s">
        <v>74</v>
      </c>
      <c r="F384" s="96" t="s">
        <v>74</v>
      </c>
      <c r="G384" s="97" t="s">
        <v>74</v>
      </c>
      <c r="H384" s="96">
        <f t="shared" si="20"/>
        <v>3</v>
      </c>
      <c r="I384" s="97">
        <f t="shared" si="22"/>
        <v>1</v>
      </c>
      <c r="J384" s="96" t="str">
        <f>'PROGRAMA LECTURA'!Z25</f>
        <v>C</v>
      </c>
    </row>
    <row r="385" spans="1:10" x14ac:dyDescent="0.25">
      <c r="A385" s="96" t="s">
        <v>73</v>
      </c>
      <c r="B385" s="96" t="s">
        <v>8</v>
      </c>
      <c r="C385" s="96">
        <v>3</v>
      </c>
      <c r="D385" s="96" t="s">
        <v>42</v>
      </c>
      <c r="E385" s="96" t="s">
        <v>74</v>
      </c>
      <c r="F385" s="96" t="s">
        <v>74</v>
      </c>
      <c r="G385" s="97" t="s">
        <v>74</v>
      </c>
      <c r="H385" s="96">
        <f t="shared" si="20"/>
        <v>3</v>
      </c>
      <c r="I385" s="97">
        <f t="shared" si="22"/>
        <v>1</v>
      </c>
      <c r="J385" s="96" t="str">
        <f>'PROGRAMA LECTURA'!AA25</f>
        <v>C</v>
      </c>
    </row>
    <row r="386" spans="1:10" ht="60" x14ac:dyDescent="0.25">
      <c r="A386" s="96" t="s">
        <v>73</v>
      </c>
      <c r="B386" s="96" t="s">
        <v>9</v>
      </c>
      <c r="C386" s="96">
        <v>4</v>
      </c>
      <c r="D386" s="96" t="s">
        <v>43</v>
      </c>
      <c r="E386" s="96" t="s">
        <v>74</v>
      </c>
      <c r="F386" s="96" t="s">
        <v>74</v>
      </c>
      <c r="G386" s="97" t="s">
        <v>74</v>
      </c>
      <c r="H386" s="96">
        <f t="shared" ref="H386:H449" si="23">COUNTIF(E386:G386,"C")</f>
        <v>3</v>
      </c>
      <c r="I386" s="97">
        <f t="shared" si="22"/>
        <v>1</v>
      </c>
      <c r="J386" s="96" t="str">
        <f>'PROGRAMA LECTURA'!AB25</f>
        <v>C</v>
      </c>
    </row>
    <row r="387" spans="1:10" x14ac:dyDescent="0.25">
      <c r="A387" s="96" t="s">
        <v>73</v>
      </c>
      <c r="B387" s="96" t="s">
        <v>9</v>
      </c>
      <c r="C387" s="96">
        <v>4</v>
      </c>
      <c r="D387" s="96" t="s">
        <v>44</v>
      </c>
      <c r="E387" s="96" t="s">
        <v>74</v>
      </c>
      <c r="F387" s="96" t="s">
        <v>74</v>
      </c>
      <c r="G387" s="97" t="s">
        <v>74</v>
      </c>
      <c r="H387" s="96">
        <f t="shared" si="23"/>
        <v>3</v>
      </c>
      <c r="I387" s="97">
        <f t="shared" si="22"/>
        <v>1</v>
      </c>
      <c r="J387" s="96" t="str">
        <f>'PROGRAMA LECTURA'!AC25</f>
        <v>C</v>
      </c>
    </row>
    <row r="388" spans="1:10" ht="30" x14ac:dyDescent="0.25">
      <c r="A388" s="96" t="s">
        <v>73</v>
      </c>
      <c r="B388" s="96" t="s">
        <v>9</v>
      </c>
      <c r="C388" s="96">
        <v>4</v>
      </c>
      <c r="D388" s="96" t="s">
        <v>45</v>
      </c>
      <c r="E388" s="96" t="s">
        <v>74</v>
      </c>
      <c r="F388" s="96" t="s">
        <v>74</v>
      </c>
      <c r="G388" s="97" t="s">
        <v>74</v>
      </c>
      <c r="H388" s="96">
        <f t="shared" si="23"/>
        <v>3</v>
      </c>
      <c r="I388" s="97">
        <f t="shared" si="22"/>
        <v>1</v>
      </c>
      <c r="J388" s="96" t="str">
        <f>'PROGRAMA LECTURA'!AD25</f>
        <v>C</v>
      </c>
    </row>
    <row r="389" spans="1:10" x14ac:dyDescent="0.25">
      <c r="A389" s="96" t="s">
        <v>73</v>
      </c>
      <c r="B389" s="96" t="s">
        <v>10</v>
      </c>
      <c r="C389" s="96">
        <v>5</v>
      </c>
      <c r="D389" s="96" t="s">
        <v>46</v>
      </c>
      <c r="E389" s="96" t="s">
        <v>74</v>
      </c>
      <c r="F389" s="96" t="s">
        <v>74</v>
      </c>
      <c r="G389" s="97" t="s">
        <v>74</v>
      </c>
      <c r="H389" s="96">
        <f t="shared" si="23"/>
        <v>3</v>
      </c>
      <c r="I389" s="97">
        <f t="shared" si="22"/>
        <v>1</v>
      </c>
      <c r="J389" s="96" t="str">
        <f>'PROGRAMA LECTURA'!AE25</f>
        <v>C</v>
      </c>
    </row>
    <row r="390" spans="1:10" ht="30" x14ac:dyDescent="0.25">
      <c r="A390" s="96" t="s">
        <v>73</v>
      </c>
      <c r="B390" s="96" t="s">
        <v>10</v>
      </c>
      <c r="C390" s="96">
        <v>5</v>
      </c>
      <c r="D390" s="96" t="s">
        <v>47</v>
      </c>
      <c r="E390" s="96" t="s">
        <v>74</v>
      </c>
      <c r="F390" s="96" t="s">
        <v>74</v>
      </c>
      <c r="G390" s="97" t="s">
        <v>74</v>
      </c>
      <c r="H390" s="96">
        <f t="shared" si="23"/>
        <v>3</v>
      </c>
      <c r="I390" s="97">
        <f t="shared" si="22"/>
        <v>1</v>
      </c>
      <c r="J390" s="96" t="str">
        <f>'PROGRAMA LECTURA'!AF25</f>
        <v>C</v>
      </c>
    </row>
    <row r="391" spans="1:10" x14ac:dyDescent="0.25">
      <c r="A391" s="96" t="s">
        <v>73</v>
      </c>
      <c r="B391" s="96" t="s">
        <v>11</v>
      </c>
      <c r="C391" s="96">
        <v>6</v>
      </c>
      <c r="D391" s="96" t="s">
        <v>20</v>
      </c>
      <c r="E391" s="96" t="s">
        <v>74</v>
      </c>
      <c r="F391" s="96" t="s">
        <v>74</v>
      </c>
      <c r="G391" s="97" t="s">
        <v>74</v>
      </c>
      <c r="H391" s="96">
        <f t="shared" si="23"/>
        <v>3</v>
      </c>
      <c r="I391" s="97">
        <f t="shared" si="22"/>
        <v>1</v>
      </c>
      <c r="J391" s="96" t="str">
        <f>'PROGRAMA LECTURA'!AG25</f>
        <v>C</v>
      </c>
    </row>
    <row r="392" spans="1:10" ht="45" x14ac:dyDescent="0.25">
      <c r="A392" s="96" t="s">
        <v>73</v>
      </c>
      <c r="B392" s="96" t="s">
        <v>11</v>
      </c>
      <c r="C392" s="96">
        <v>6</v>
      </c>
      <c r="D392" s="96" t="s">
        <v>48</v>
      </c>
      <c r="E392" s="96" t="s">
        <v>74</v>
      </c>
      <c r="F392" s="96" t="s">
        <v>74</v>
      </c>
      <c r="G392" s="97" t="s">
        <v>74</v>
      </c>
      <c r="H392" s="96">
        <f t="shared" si="23"/>
        <v>3</v>
      </c>
      <c r="I392" s="97">
        <f t="shared" si="22"/>
        <v>1</v>
      </c>
      <c r="J392" s="96" t="str">
        <f>'PROGRAMA LECTURA'!AH25</f>
        <v>C</v>
      </c>
    </row>
    <row r="393" spans="1:10" x14ac:dyDescent="0.25">
      <c r="A393" s="96" t="s">
        <v>73</v>
      </c>
      <c r="B393" s="96" t="s">
        <v>11</v>
      </c>
      <c r="C393" s="96">
        <v>6</v>
      </c>
      <c r="D393" s="96" t="s">
        <v>49</v>
      </c>
      <c r="E393" s="96" t="s">
        <v>75</v>
      </c>
      <c r="F393" s="96" t="s">
        <v>75</v>
      </c>
      <c r="G393" s="97" t="s">
        <v>75</v>
      </c>
      <c r="H393" s="96">
        <f t="shared" si="23"/>
        <v>0</v>
      </c>
      <c r="I393" s="97">
        <f t="shared" si="22"/>
        <v>0</v>
      </c>
      <c r="J393" s="96" t="str">
        <f>'PROGRAMA LECTURA'!AI25</f>
        <v>F</v>
      </c>
    </row>
    <row r="394" spans="1:10" x14ac:dyDescent="0.25">
      <c r="A394" s="96" t="s">
        <v>73</v>
      </c>
      <c r="B394" s="96" t="s">
        <v>12</v>
      </c>
      <c r="C394" s="96">
        <v>7</v>
      </c>
      <c r="D394" s="96" t="s">
        <v>38</v>
      </c>
      <c r="E394" s="96" t="s">
        <v>74</v>
      </c>
      <c r="F394" s="96" t="s">
        <v>74</v>
      </c>
      <c r="G394" s="96" t="s">
        <v>74</v>
      </c>
      <c r="H394" s="96">
        <f t="shared" si="23"/>
        <v>3</v>
      </c>
      <c r="I394" s="97">
        <f t="shared" ref="I394:I425" si="24">H394/3</f>
        <v>1</v>
      </c>
      <c r="J394" s="96" t="str">
        <f>'PROGRAMA LECTURA'!AJ25</f>
        <v>C</v>
      </c>
    </row>
    <row r="395" spans="1:10" ht="60" x14ac:dyDescent="0.25">
      <c r="A395" s="96" t="s">
        <v>73</v>
      </c>
      <c r="B395" s="96" t="s">
        <v>12</v>
      </c>
      <c r="C395" s="96">
        <v>7</v>
      </c>
      <c r="D395" s="96" t="s">
        <v>87</v>
      </c>
      <c r="E395" s="96"/>
      <c r="F395" s="96"/>
      <c r="G395" s="97"/>
      <c r="H395" s="96">
        <f t="shared" si="23"/>
        <v>0</v>
      </c>
      <c r="I395" s="97">
        <f t="shared" si="24"/>
        <v>0</v>
      </c>
      <c r="J395" s="96" t="str">
        <f>'PROGRAMA LECTURA'!AK25</f>
        <v>F</v>
      </c>
    </row>
    <row r="396" spans="1:10" x14ac:dyDescent="0.25">
      <c r="A396" s="96" t="s">
        <v>73</v>
      </c>
      <c r="B396" s="96" t="s">
        <v>12</v>
      </c>
      <c r="C396" s="96">
        <v>7</v>
      </c>
      <c r="D396" s="96" t="s">
        <v>51</v>
      </c>
      <c r="E396" s="96" t="s">
        <v>76</v>
      </c>
      <c r="F396" s="96" t="s">
        <v>76</v>
      </c>
      <c r="G396" s="97" t="s">
        <v>76</v>
      </c>
      <c r="H396" s="96">
        <f t="shared" si="23"/>
        <v>0</v>
      </c>
      <c r="I396" s="97">
        <f t="shared" si="24"/>
        <v>0</v>
      </c>
      <c r="J396" s="96" t="str">
        <f>'PROGRAMA LECTURA'!AL25</f>
        <v>EP</v>
      </c>
    </row>
    <row r="397" spans="1:10" x14ac:dyDescent="0.25">
      <c r="A397" s="96" t="s">
        <v>73</v>
      </c>
      <c r="B397" s="96" t="s">
        <v>13</v>
      </c>
      <c r="C397" s="96">
        <v>8</v>
      </c>
      <c r="D397" s="96" t="s">
        <v>52</v>
      </c>
      <c r="E397" s="96"/>
      <c r="F397" s="96"/>
      <c r="G397" s="96"/>
      <c r="H397" s="96">
        <f t="shared" si="23"/>
        <v>0</v>
      </c>
      <c r="I397" s="97">
        <f t="shared" si="24"/>
        <v>0</v>
      </c>
      <c r="J397" s="96">
        <f>'PROGRAMA LECTURA'!AM25</f>
        <v>0</v>
      </c>
    </row>
    <row r="398" spans="1:10" x14ac:dyDescent="0.25">
      <c r="A398" s="96" t="s">
        <v>73</v>
      </c>
      <c r="B398" s="96" t="s">
        <v>13</v>
      </c>
      <c r="C398" s="96">
        <v>8</v>
      </c>
      <c r="D398" s="96" t="s">
        <v>53</v>
      </c>
      <c r="E398" s="96"/>
      <c r="F398" s="96"/>
      <c r="G398" s="96"/>
      <c r="H398" s="96">
        <f t="shared" si="23"/>
        <v>0</v>
      </c>
      <c r="I398" s="97">
        <f t="shared" si="24"/>
        <v>0</v>
      </c>
      <c r="J398" s="96">
        <f>'PROGRAMA LECTURA'!AN25</f>
        <v>0</v>
      </c>
    </row>
    <row r="399" spans="1:10" ht="30" x14ac:dyDescent="0.25">
      <c r="A399" s="96" t="s">
        <v>73</v>
      </c>
      <c r="B399" s="96" t="s">
        <v>13</v>
      </c>
      <c r="C399" s="96">
        <v>8</v>
      </c>
      <c r="D399" s="96" t="s">
        <v>54</v>
      </c>
      <c r="E399" s="96"/>
      <c r="F399" s="96"/>
      <c r="G399" s="96"/>
      <c r="H399" s="96">
        <f t="shared" si="23"/>
        <v>0</v>
      </c>
      <c r="I399" s="97">
        <f t="shared" si="24"/>
        <v>0</v>
      </c>
      <c r="J399" s="96">
        <f>'PROGRAMA LECTURA'!AO25</f>
        <v>0</v>
      </c>
    </row>
    <row r="400" spans="1:10" x14ac:dyDescent="0.25">
      <c r="A400" s="96" t="s">
        <v>73</v>
      </c>
      <c r="B400" s="96" t="s">
        <v>14</v>
      </c>
      <c r="C400" s="96">
        <v>9</v>
      </c>
      <c r="D400" s="96" t="s">
        <v>55</v>
      </c>
      <c r="E400" s="96"/>
      <c r="F400" s="96"/>
      <c r="G400" s="96"/>
      <c r="H400" s="96">
        <f t="shared" si="23"/>
        <v>0</v>
      </c>
      <c r="I400" s="97">
        <f t="shared" si="24"/>
        <v>0</v>
      </c>
      <c r="J400" s="96">
        <f>'PROGRAMA LECTURA'!AP25</f>
        <v>0</v>
      </c>
    </row>
    <row r="401" spans="1:10" x14ac:dyDescent="0.25">
      <c r="A401" s="96" t="s">
        <v>73</v>
      </c>
      <c r="B401" s="96" t="s">
        <v>14</v>
      </c>
      <c r="C401" s="96">
        <v>9</v>
      </c>
      <c r="D401" s="96" t="s">
        <v>56</v>
      </c>
      <c r="E401" s="96"/>
      <c r="F401" s="96"/>
      <c r="G401" s="96"/>
      <c r="H401" s="96">
        <f t="shared" si="23"/>
        <v>0</v>
      </c>
      <c r="I401" s="97">
        <f t="shared" si="24"/>
        <v>0</v>
      </c>
      <c r="J401" s="96">
        <f>'PROGRAMA LECTURA'!AQ25</f>
        <v>0</v>
      </c>
    </row>
    <row r="402" spans="1:10" x14ac:dyDescent="0.25">
      <c r="A402" s="96" t="s">
        <v>73</v>
      </c>
      <c r="B402" s="96" t="s">
        <v>15</v>
      </c>
      <c r="C402" s="96">
        <v>10</v>
      </c>
      <c r="D402" s="96" t="s">
        <v>20</v>
      </c>
      <c r="E402" s="96"/>
      <c r="F402" s="96"/>
      <c r="G402" s="96"/>
      <c r="H402" s="96">
        <f t="shared" si="23"/>
        <v>0</v>
      </c>
      <c r="I402" s="97">
        <f t="shared" si="24"/>
        <v>0</v>
      </c>
      <c r="J402" s="96">
        <f>'PROGRAMA LECTURA'!AR25</f>
        <v>0</v>
      </c>
    </row>
    <row r="403" spans="1:10" x14ac:dyDescent="0.25">
      <c r="A403" s="96" t="s">
        <v>73</v>
      </c>
      <c r="B403" s="96" t="s">
        <v>15</v>
      </c>
      <c r="C403" s="96">
        <v>10</v>
      </c>
      <c r="D403" s="96" t="s">
        <v>42</v>
      </c>
      <c r="E403" s="96"/>
      <c r="F403" s="96"/>
      <c r="G403" s="96"/>
      <c r="H403" s="96">
        <f t="shared" si="23"/>
        <v>0</v>
      </c>
      <c r="I403" s="97">
        <f t="shared" si="24"/>
        <v>0</v>
      </c>
      <c r="J403" s="96">
        <f>'PROGRAMA LECTURA'!AS25</f>
        <v>0</v>
      </c>
    </row>
    <row r="404" spans="1:10" ht="30" x14ac:dyDescent="0.25">
      <c r="A404" s="96" t="s">
        <v>73</v>
      </c>
      <c r="B404" s="96" t="s">
        <v>16</v>
      </c>
      <c r="C404" s="96">
        <v>11</v>
      </c>
      <c r="D404" s="96" t="s">
        <v>57</v>
      </c>
      <c r="E404" s="96"/>
      <c r="F404" s="96"/>
      <c r="G404" s="96"/>
      <c r="H404" s="96">
        <f t="shared" si="23"/>
        <v>0</v>
      </c>
      <c r="I404" s="97">
        <f t="shared" si="24"/>
        <v>0</v>
      </c>
      <c r="J404" s="96">
        <f>'PROGRAMA LECTURA'!AT25</f>
        <v>0</v>
      </c>
    </row>
    <row r="405" spans="1:10" x14ac:dyDescent="0.25">
      <c r="A405" s="96" t="s">
        <v>73</v>
      </c>
      <c r="B405" s="96" t="s">
        <v>16</v>
      </c>
      <c r="C405" s="96">
        <v>11</v>
      </c>
      <c r="D405" s="96" t="s">
        <v>39</v>
      </c>
      <c r="E405" s="96"/>
      <c r="F405" s="96"/>
      <c r="G405" s="96"/>
      <c r="H405" s="96">
        <f t="shared" si="23"/>
        <v>0</v>
      </c>
      <c r="I405" s="97">
        <f t="shared" si="24"/>
        <v>0</v>
      </c>
      <c r="J405" s="96">
        <f>'PROGRAMA LECTURA'!AU25</f>
        <v>0</v>
      </c>
    </row>
    <row r="406" spans="1:10" x14ac:dyDescent="0.25">
      <c r="A406" s="96" t="s">
        <v>73</v>
      </c>
      <c r="B406" s="96" t="s">
        <v>17</v>
      </c>
      <c r="C406" s="96">
        <v>12</v>
      </c>
      <c r="D406" s="96" t="s">
        <v>38</v>
      </c>
      <c r="E406" s="96"/>
      <c r="F406" s="96"/>
      <c r="G406" s="96"/>
      <c r="H406" s="96">
        <f t="shared" si="23"/>
        <v>0</v>
      </c>
      <c r="I406" s="97">
        <f t="shared" si="24"/>
        <v>0</v>
      </c>
      <c r="J406" s="96">
        <f>'PROGRAMA LECTURA'!AV25</f>
        <v>0</v>
      </c>
    </row>
  </sheetData>
  <conditionalFormatting sqref="E2:G406">
    <cfRule type="expression" dxfId="14" priority="1">
      <formula>E2="C"</formula>
    </cfRule>
    <cfRule type="expression" dxfId="13" priority="2">
      <formula>E2="F"</formula>
    </cfRule>
    <cfRule type="expression" dxfId="12" priority="3">
      <formula>E2="EP"</formula>
    </cfRule>
  </conditionalFormatting>
  <conditionalFormatting sqref="J2:J406">
    <cfRule type="expression" dxfId="11" priority="4">
      <formula>J2="C"</formula>
    </cfRule>
    <cfRule type="expression" dxfId="10" priority="5">
      <formula>J2="F"</formula>
    </cfRule>
    <cfRule type="expression" dxfId="9" priority="6">
      <formula>J2="EP"</formula>
    </cfRule>
  </conditionalFormatting>
  <dataValidations count="1">
    <dataValidation type="list" sqref="E2:G406" xr:uid="{00000000-0002-0000-0100-000000000000}">
      <formula1>"C,F,EP"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>
      <selection activeCell="G9" sqref="G9"/>
    </sheetView>
  </sheetViews>
  <sheetFormatPr baseColWidth="10" defaultColWidth="9.140625" defaultRowHeight="15" x14ac:dyDescent="0.25"/>
  <cols>
    <col min="1" max="2" width="16" customWidth="1"/>
    <col min="3" max="3" width="5" customWidth="1"/>
    <col min="4" max="4" width="16" customWidth="1"/>
    <col min="5" max="6" width="12" customWidth="1"/>
    <col min="7" max="7" width="16" customWidth="1"/>
    <col min="8" max="9" width="12" customWidth="1"/>
    <col min="10" max="10" width="16" customWidth="1"/>
    <col min="11" max="12" width="12" customWidth="1"/>
    <col min="13" max="14" width="5" customWidth="1"/>
  </cols>
  <sheetData>
    <row r="1" spans="1:14" ht="27.95" customHeight="1" x14ac:dyDescent="0.25">
      <c r="A1" s="67" t="s">
        <v>89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7.95" customHeight="1" x14ac:dyDescent="0.25">
      <c r="A2" s="67"/>
      <c r="B2" s="67"/>
      <c r="C2" s="67"/>
      <c r="D2" s="67"/>
      <c r="E2" s="67"/>
      <c r="F2" s="67"/>
      <c r="G2" s="68">
        <f t="shared" ref="G2:G24" si="0">IF(F2="Cumplido",1,0)</f>
        <v>0</v>
      </c>
      <c r="H2" s="67"/>
      <c r="I2" s="67"/>
      <c r="J2" s="67"/>
      <c r="K2" s="67"/>
      <c r="L2" s="67"/>
      <c r="M2" s="67"/>
      <c r="N2" s="67"/>
    </row>
    <row r="3" spans="1:14" ht="24" customHeight="1" x14ac:dyDescent="0.25">
      <c r="A3" s="32" t="s">
        <v>90</v>
      </c>
      <c r="B3" s="69" t="s">
        <v>58</v>
      </c>
      <c r="C3" s="69"/>
      <c r="D3" s="69"/>
      <c r="G3" s="18">
        <f t="shared" si="0"/>
        <v>0</v>
      </c>
    </row>
    <row r="4" spans="1:14" x14ac:dyDescent="0.25">
      <c r="G4" s="18">
        <f t="shared" si="0"/>
        <v>0</v>
      </c>
    </row>
    <row r="5" spans="1:14" x14ac:dyDescent="0.25">
      <c r="A5" s="70" t="s">
        <v>91</v>
      </c>
      <c r="B5" s="70"/>
      <c r="C5" s="70"/>
      <c r="D5" s="70" t="s">
        <v>92</v>
      </c>
      <c r="E5" s="70"/>
      <c r="F5" s="70"/>
      <c r="G5" s="71">
        <f t="shared" si="0"/>
        <v>0</v>
      </c>
      <c r="H5" s="70"/>
      <c r="I5" s="70"/>
      <c r="J5" s="70" t="s">
        <v>93</v>
      </c>
      <c r="K5" s="70"/>
      <c r="L5" s="70"/>
    </row>
    <row r="6" spans="1:14" x14ac:dyDescent="0.25">
      <c r="A6" s="72">
        <f>IFERROR(D6/(COUNTIFS('PROGRAMA LECTURA'!$A$11:$A$25,$B$3,'PROGRAMA LECTURA'!$V$11:$V$25,"&lt;&gt;")+COUNTIFS('PROGRAMA LECTURA'!$A$11:$A$25,$B$3,'PROGRAMA LECTURA'!$W$11:$W$25,"&lt;&gt;")+COUNTIFS('PROGRAMA LECTURA'!$A$11:$A$25,$B$3,'PROGRAMA LECTURA'!$X$11:$X$25,"&lt;&gt;")+COUNTIFS('PROGRAMA LECTURA'!$A$11:$A$25,$B$3,'PROGRAMA LECTURA'!$Y$11:$Y$25,"&lt;&gt;")+COUNTIFS('PROGRAMA LECTURA'!$A$11:$A$25,$B$3,'PROGRAMA LECTURA'!$Z$11:$Z$25,"&lt;&gt;")+COUNTIFS('PROGRAMA LECTURA'!$A$11:$A$25,$B$3,'PROGRAMA LECTURA'!$AA$11:$AA$25,"&lt;&gt;")+COUNTIFS('PROGRAMA LECTURA'!$A$11:$A$25,$B$3,'PROGRAMA LECTURA'!$AB$11:$AB$25,"&lt;&gt;")+COUNTIFS('PROGRAMA LECTURA'!$A$11:$A$25,$B$3,'PROGRAMA LECTURA'!$AC$11:$AC$25,"&lt;&gt;")+COUNTIFS('PROGRAMA LECTURA'!$A$11:$A$25,$B$3,'PROGRAMA LECTURA'!$AD$11:$AD$25,"&lt;&gt;")+COUNTIFS('PROGRAMA LECTURA'!$A$11:$A$25,$B$3,'PROGRAMA LECTURA'!$AE$11:$AE$25,"&lt;&gt;")+COUNTIFS('PROGRAMA LECTURA'!$A$11:$A$25,$B$3,'PROGRAMA LECTURA'!$AF$11:$AF$25,"&lt;&gt;")+COUNTIFS('PROGRAMA LECTURA'!$A$11:$A$25,$B$3,'PROGRAMA LECTURA'!$AG$11:$AG$25,"&lt;&gt;")+COUNTIFS('PROGRAMA LECTURA'!$A$11:$A$25,$B$3,'PROGRAMA LECTURA'!$AH$11:$AH$25,"&lt;&gt;")+COUNTIFS('PROGRAMA LECTURA'!$A$11:$A$25,$B$3,'PROGRAMA LECTURA'!$AI$11:$AI$25,"&lt;&gt;")+COUNTIFS('PROGRAMA LECTURA'!$A$11:$A$25,$B$3,'PROGRAMA LECTURA'!$AJ$11:$AJ$25,"&lt;&gt;")+COUNTIFS('PROGRAMA LECTURA'!$A$11:$A$25,$B$3,'PROGRAMA LECTURA'!$AK$11:$AK$25,"&lt;&gt;")+COUNTIFS('PROGRAMA LECTURA'!$A$11:$A$25,$B$3,'PROGRAMA LECTURA'!$AL$11:$AL$25,"&lt;&gt;")+COUNTIFS('PROGRAMA LECTURA'!$A$11:$A$25,$B$3,'PROGRAMA LECTURA'!$AM$11:$AM$25,"&lt;&gt;")+COUNTIFS('PROGRAMA LECTURA'!$A$11:$A$25,$B$3,'PROGRAMA LECTURA'!$AN$11:$AN$25,"&lt;&gt;")+COUNTIFS('PROGRAMA LECTURA'!$A$11:$A$25,$B$3,'PROGRAMA LECTURA'!$AO$11:$AO$25,"&lt;&gt;")+COUNTIFS('PROGRAMA LECTURA'!$A$11:$A$25,$B$3,'PROGRAMA LECTURA'!$AP$11:$AP$25,"&lt;&gt;")+COUNTIFS('PROGRAMA LECTURA'!$A$11:$A$25,$B$3,'PROGRAMA LECTURA'!$AQ$11:$AQ$25,"&lt;&gt;")+COUNTIFS('PROGRAMA LECTURA'!$A$11:$A$25,$B$3,'PROGRAMA LECTURA'!$AR$11:$AR$25,"&lt;&gt;")+COUNTIFS('PROGRAMA LECTURA'!$A$11:$A$25,$B$3,'PROGRAMA LECTURA'!$AS$11:$AS$25,"&lt;&gt;")+COUNTIFS('PROGRAMA LECTURA'!$A$11:$A$25,$B$3,'PROGRAMA LECTURA'!$AT$11:$AT$25,"&lt;&gt;")+COUNTIFS('PROGRAMA LECTURA'!$A$11:$A$25,$B$3,'PROGRAMA LECTURA'!$AU$11:$AU$25,"&lt;&gt;")+COUNTIFS('PROGRAMA LECTURA'!$A$11:$A$25,$B$3,'PROGRAMA LECTURA'!$AV$11:$AV$25,"&lt;&gt;")),0)</f>
        <v>0.82352941176470584</v>
      </c>
      <c r="B6" s="72"/>
      <c r="C6" s="72"/>
      <c r="D6" s="73">
        <f>COUNTIFS('PROGRAMA LECTURA'!$A$11:$A$25,$B$3,'PROGRAMA LECTURA'!$V$11:$V$25,"C")+COUNTIFS('PROGRAMA LECTURA'!$A$11:$A$25,$B$3,'PROGRAMA LECTURA'!$W$11:$W$25,"C")+COUNTIFS('PROGRAMA LECTURA'!$A$11:$A$25,$B$3,'PROGRAMA LECTURA'!$X$11:$X$25,"C")+COUNTIFS('PROGRAMA LECTURA'!$A$11:$A$25,$B$3,'PROGRAMA LECTURA'!$Y$11:$Y$25,"C")+COUNTIFS('PROGRAMA LECTURA'!$A$11:$A$25,$B$3,'PROGRAMA LECTURA'!$Z$11:$Z$25,"C")+COUNTIFS('PROGRAMA LECTURA'!$A$11:$A$25,$B$3,'PROGRAMA LECTURA'!$AA$11:$AA$25,"C")+COUNTIFS('PROGRAMA LECTURA'!$A$11:$A$25,$B$3,'PROGRAMA LECTURA'!$AB$11:$AB$25,"C")+COUNTIFS('PROGRAMA LECTURA'!$A$11:$A$25,$B$3,'PROGRAMA LECTURA'!$AC$11:$AC$25,"C")+COUNTIFS('PROGRAMA LECTURA'!$A$11:$A$25,$B$3,'PROGRAMA LECTURA'!$AD$11:$AD$25,"C")+COUNTIFS('PROGRAMA LECTURA'!$A$11:$A$25,$B$3,'PROGRAMA LECTURA'!$AE$11:$AE$25,"C")+COUNTIFS('PROGRAMA LECTURA'!$A$11:$A$25,$B$3,'PROGRAMA LECTURA'!$AF$11:$AF$25,"C")+COUNTIFS('PROGRAMA LECTURA'!$A$11:$A$25,$B$3,'PROGRAMA LECTURA'!$AG$11:$AG$25,"C")+COUNTIFS('PROGRAMA LECTURA'!$A$11:$A$25,$B$3,'PROGRAMA LECTURA'!$AH$11:$AH$25,"C")+COUNTIFS('PROGRAMA LECTURA'!$A$11:$A$25,$B$3,'PROGRAMA LECTURA'!$AI$11:$AI$25,"C")+COUNTIFS('PROGRAMA LECTURA'!$A$11:$A$25,$B$3,'PROGRAMA LECTURA'!$AJ$11:$AJ$25,"C")+COUNTIFS('PROGRAMA LECTURA'!$A$11:$A$25,$B$3,'PROGRAMA LECTURA'!$AK$11:$AK$25,"C")+COUNTIFS('PROGRAMA LECTURA'!$A$11:$A$25,$B$3,'PROGRAMA LECTURA'!$AL$11:$AL$25,"C")+COUNTIFS('PROGRAMA LECTURA'!$A$11:$A$25,$B$3,'PROGRAMA LECTURA'!$AM$11:$AM$25,"C")+COUNTIFS('PROGRAMA LECTURA'!$A$11:$A$25,$B$3,'PROGRAMA LECTURA'!$AN$11:$AN$25,"C")+COUNTIFS('PROGRAMA LECTURA'!$A$11:$A$25,$B$3,'PROGRAMA LECTURA'!$AO$11:$AO$25,"C")+COUNTIFS('PROGRAMA LECTURA'!$A$11:$A$25,$B$3,'PROGRAMA LECTURA'!$AP$11:$AP$25,"C")+COUNTIFS('PROGRAMA LECTURA'!$A$11:$A$25,$B$3,'PROGRAMA LECTURA'!$AQ$11:$AQ$25,"C")+COUNTIFS('PROGRAMA LECTURA'!$A$11:$A$25,$B$3,'PROGRAMA LECTURA'!$AR$11:$AR$25,"C")+COUNTIFS('PROGRAMA LECTURA'!$A$11:$A$25,$B$3,'PROGRAMA LECTURA'!$AS$11:$AS$25,"C")+COUNTIFS('PROGRAMA LECTURA'!$A$11:$A$25,$B$3,'PROGRAMA LECTURA'!$AT$11:$AT$25,"C")+COUNTIFS('PROGRAMA LECTURA'!$A$11:$A$25,$B$3,'PROGRAMA LECTURA'!$AU$11:$AU$25,"C")+COUNTIFS('PROGRAMA LECTURA'!$A$11:$A$25,$B$3,'PROGRAMA LECTURA'!$AV$11:$AV$25,"C")</f>
        <v>14</v>
      </c>
      <c r="E6" s="73"/>
      <c r="F6" s="73"/>
      <c r="G6" s="74">
        <f t="shared" si="0"/>
        <v>0</v>
      </c>
      <c r="H6" s="75"/>
      <c r="I6" s="75"/>
      <c r="J6" s="76">
        <f>COUNTIFS('PROGRAMA LECTURA'!$A$11:$A$25,$B$3,'PROGRAMA LECTURA'!$V$11:$V$25,"EP")+COUNTIFS('PROGRAMA LECTURA'!$A$11:$A$25,$B$3,'PROGRAMA LECTURA'!$W$11:$W$25,"EP")+COUNTIFS('PROGRAMA LECTURA'!$A$11:$A$25,$B$3,'PROGRAMA LECTURA'!$X$11:$X$25,"EP")+COUNTIFS('PROGRAMA LECTURA'!$A$11:$A$25,$B$3,'PROGRAMA LECTURA'!$Y$11:$Y$25,"EP")+COUNTIFS('PROGRAMA LECTURA'!$A$11:$A$25,$B$3,'PROGRAMA LECTURA'!$Z$11:$Z$25,"EP")+COUNTIFS('PROGRAMA LECTURA'!$A$11:$A$25,$B$3,'PROGRAMA LECTURA'!$AA$11:$AA$25,"EP")+COUNTIFS('PROGRAMA LECTURA'!$A$11:$A$25,$B$3,'PROGRAMA LECTURA'!$AB$11:$AB$25,"EP")+COUNTIFS('PROGRAMA LECTURA'!$A$11:$A$25,$B$3,'PROGRAMA LECTURA'!$AC$11:$AC$25,"EP")+COUNTIFS('PROGRAMA LECTURA'!$A$11:$A$25,$B$3,'PROGRAMA LECTURA'!$AD$11:$AD$25,"EP")+COUNTIFS('PROGRAMA LECTURA'!$A$11:$A$25,$B$3,'PROGRAMA LECTURA'!$AE$11:$AE$25,"EP")+COUNTIFS('PROGRAMA LECTURA'!$A$11:$A$25,$B$3,'PROGRAMA LECTURA'!$AF$11:$AF$25,"EP")+COUNTIFS('PROGRAMA LECTURA'!$A$11:$A$25,$B$3,'PROGRAMA LECTURA'!$AG$11:$AG$25,"EP")+COUNTIFS('PROGRAMA LECTURA'!$A$11:$A$25,$B$3,'PROGRAMA LECTURA'!$AH$11:$AH$25,"EP")+COUNTIFS('PROGRAMA LECTURA'!$A$11:$A$25,$B$3,'PROGRAMA LECTURA'!$AI$11:$AI$25,"EP")+COUNTIFS('PROGRAMA LECTURA'!$A$11:$A$25,$B$3,'PROGRAMA LECTURA'!$AJ$11:$AJ$25,"EP")+COUNTIFS('PROGRAMA LECTURA'!$A$11:$A$25,$B$3,'PROGRAMA LECTURA'!$AK$11:$AK$25,"EP")+COUNTIFS('PROGRAMA LECTURA'!$A$11:$A$25,$B$3,'PROGRAMA LECTURA'!$AL$11:$AL$25,"EP")+COUNTIFS('PROGRAMA LECTURA'!$A$11:$A$25,$B$3,'PROGRAMA LECTURA'!$AM$11:$AM$25,"EP")+COUNTIFS('PROGRAMA LECTURA'!$A$11:$A$25,$B$3,'PROGRAMA LECTURA'!$AN$11:$AN$25,"EP")+COUNTIFS('PROGRAMA LECTURA'!$A$11:$A$25,$B$3,'PROGRAMA LECTURA'!$AO$11:$AO$25,"EP")+COUNTIFS('PROGRAMA LECTURA'!$A$11:$A$25,$B$3,'PROGRAMA LECTURA'!$AP$11:$AP$25,"EP")+COUNTIFS('PROGRAMA LECTURA'!$A$11:$A$25,$B$3,'PROGRAMA LECTURA'!$AQ$11:$AQ$25,"EP")+COUNTIFS('PROGRAMA LECTURA'!$A$11:$A$25,$B$3,'PROGRAMA LECTURA'!$AR$11:$AR$25,"EP")+COUNTIFS('PROGRAMA LECTURA'!$A$11:$A$25,$B$3,'PROGRAMA LECTURA'!$AS$11:$AS$25,"EP")+COUNTIFS('PROGRAMA LECTURA'!$A$11:$A$25,$B$3,'PROGRAMA LECTURA'!$AT$11:$AT$25,"EP")+COUNTIFS('PROGRAMA LECTURA'!$A$11:$A$25,$B$3,'PROGRAMA LECTURA'!$AU$11:$AU$25,"EP")+COUNTIFS('PROGRAMA LECTURA'!$A$11:$A$25,$B$3,'PROGRAMA LECTURA'!$AV$11:$AV$25,"EP")</f>
        <v>1</v>
      </c>
      <c r="K6" s="76"/>
      <c r="L6" s="76"/>
    </row>
    <row r="7" spans="1:14" x14ac:dyDescent="0.25">
      <c r="A7" s="72"/>
      <c r="B7" s="72"/>
      <c r="C7" s="72"/>
      <c r="D7" s="73"/>
      <c r="E7" s="73"/>
      <c r="F7" s="73"/>
      <c r="G7" s="74">
        <f t="shared" si="0"/>
        <v>0</v>
      </c>
      <c r="H7" s="75"/>
      <c r="I7" s="75"/>
      <c r="J7" s="76"/>
      <c r="K7" s="76"/>
      <c r="L7" s="76"/>
    </row>
    <row r="8" spans="1:14" x14ac:dyDescent="0.25">
      <c r="A8" s="72"/>
      <c r="B8" s="72"/>
      <c r="C8" s="72"/>
      <c r="D8" s="73"/>
      <c r="E8" s="73"/>
      <c r="F8" s="73"/>
      <c r="G8" s="74">
        <f t="shared" si="0"/>
        <v>0</v>
      </c>
      <c r="H8" s="75"/>
      <c r="I8" s="75"/>
      <c r="J8" s="76"/>
      <c r="K8" s="76"/>
      <c r="L8" s="76"/>
    </row>
    <row r="9" spans="1:14" x14ac:dyDescent="0.25">
      <c r="G9" s="18">
        <f t="shared" si="0"/>
        <v>0</v>
      </c>
    </row>
    <row r="10" spans="1:14" x14ac:dyDescent="0.25">
      <c r="G10" s="18">
        <f t="shared" si="0"/>
        <v>0</v>
      </c>
    </row>
    <row r="11" spans="1:14" x14ac:dyDescent="0.25">
      <c r="A11" s="31" t="s">
        <v>94</v>
      </c>
      <c r="B11" s="31" t="s">
        <v>95</v>
      </c>
      <c r="D11" s="77" t="s">
        <v>96</v>
      </c>
      <c r="E11" s="77"/>
      <c r="F11" s="77"/>
      <c r="G11" s="18">
        <f t="shared" si="0"/>
        <v>0</v>
      </c>
    </row>
    <row r="12" spans="1:14" x14ac:dyDescent="0.25">
      <c r="A12" s="33" t="s">
        <v>92</v>
      </c>
      <c r="B12" s="33">
        <f>D6</f>
        <v>14</v>
      </c>
      <c r="D12" s="78">
        <f>IFERROR(COUNTIF('PROGRAMA LECTURA'!$V$11:$AV$25,"C")/COUNTA('PROGRAMA LECTURA'!$V$11:$AV$25),0)</f>
        <v>0.82352941176470584</v>
      </c>
      <c r="E12" s="78"/>
      <c r="F12" s="78"/>
      <c r="G12" s="18">
        <f t="shared" si="0"/>
        <v>0</v>
      </c>
    </row>
    <row r="13" spans="1:14" x14ac:dyDescent="0.25">
      <c r="A13" s="33" t="s">
        <v>97</v>
      </c>
      <c r="B13" s="33">
        <f>G6</f>
        <v>0</v>
      </c>
      <c r="D13" s="78"/>
      <c r="E13" s="78"/>
      <c r="F13" s="78"/>
      <c r="G13" s="18">
        <f t="shared" si="0"/>
        <v>0</v>
      </c>
    </row>
    <row r="14" spans="1:14" x14ac:dyDescent="0.25">
      <c r="A14" s="33" t="s">
        <v>93</v>
      </c>
      <c r="B14" s="33">
        <f>J6</f>
        <v>1</v>
      </c>
      <c r="D14" s="78"/>
      <c r="E14" s="78"/>
      <c r="F14" s="78"/>
      <c r="G14" s="18">
        <f t="shared" si="0"/>
        <v>0</v>
      </c>
    </row>
    <row r="15" spans="1:14" x14ac:dyDescent="0.25">
      <c r="G15" s="18">
        <f t="shared" si="0"/>
        <v>0</v>
      </c>
    </row>
    <row r="16" spans="1:14" x14ac:dyDescent="0.25">
      <c r="D16" s="79" t="s">
        <v>98</v>
      </c>
      <c r="E16" s="79"/>
      <c r="F16" s="79"/>
      <c r="G16" s="80">
        <f t="shared" si="0"/>
        <v>0</v>
      </c>
      <c r="H16" s="79"/>
      <c r="I16" s="79"/>
      <c r="J16" s="79"/>
      <c r="K16" s="79"/>
      <c r="L16" s="79"/>
    </row>
    <row r="17" spans="1:7" x14ac:dyDescent="0.25">
      <c r="G17" s="18">
        <f t="shared" si="0"/>
        <v>0</v>
      </c>
    </row>
    <row r="18" spans="1:7" x14ac:dyDescent="0.25">
      <c r="A18" s="31" t="s">
        <v>99</v>
      </c>
      <c r="B18" s="31" t="s">
        <v>100</v>
      </c>
      <c r="G18" s="18">
        <f t="shared" si="0"/>
        <v>0</v>
      </c>
    </row>
    <row r="19" spans="1:7" x14ac:dyDescent="0.25">
      <c r="A19" t="str">
        <f>'PROGRAMA LECTURA'!A11</f>
        <v>MINA CANDELARIA</v>
      </c>
      <c r="B19" s="34">
        <f>'PROGRAMA LECTURA'!AW11</f>
        <v>0.82352941176470584</v>
      </c>
      <c r="G19" s="18">
        <f t="shared" si="0"/>
        <v>0</v>
      </c>
    </row>
    <row r="20" spans="1:7" x14ac:dyDescent="0.25">
      <c r="A20" t="str">
        <f>'PROGRAMA LECTURA'!A12</f>
        <v>PLANTA MAHUARA</v>
      </c>
      <c r="B20" s="34">
        <f>'PROGRAMA LECTURA'!AW12</f>
        <v>0.82352941176470584</v>
      </c>
      <c r="G20" s="18">
        <f t="shared" si="0"/>
        <v>0</v>
      </c>
    </row>
    <row r="21" spans="1:7" x14ac:dyDescent="0.25">
      <c r="A21" t="str">
        <f>'PROGRAMA LECTURA'!A13</f>
        <v>ADMINISTRACIÓN</v>
      </c>
      <c r="B21" s="34">
        <f>'PROGRAMA LECTURA'!AW13</f>
        <v>0.82352941176470584</v>
      </c>
      <c r="G21" s="18">
        <f t="shared" si="0"/>
        <v>0</v>
      </c>
    </row>
    <row r="22" spans="1:7" x14ac:dyDescent="0.25">
      <c r="A22" t="str">
        <f>'PROGRAMA LECTURA'!A14</f>
        <v xml:space="preserve">MANTENIMIENTO </v>
      </c>
      <c r="B22" s="34">
        <f>'PROGRAMA LECTURA'!AW14</f>
        <v>0.82352941176470584</v>
      </c>
      <c r="G22" s="18">
        <f t="shared" si="0"/>
        <v>0</v>
      </c>
    </row>
    <row r="23" spans="1:7" x14ac:dyDescent="0.25">
      <c r="A23" t="str">
        <f>'PROGRAMA LECTURA'!A15</f>
        <v>DESARROLLOS MINEROS</v>
      </c>
      <c r="B23" s="34">
        <f>'PROGRAMA LECTURA'!AW15</f>
        <v>0.82352941176470584</v>
      </c>
      <c r="G23" s="18">
        <f t="shared" si="0"/>
        <v>0</v>
      </c>
    </row>
    <row r="24" spans="1:7" x14ac:dyDescent="0.25">
      <c r="A24" t="str">
        <f>'PROGRAMA LECTURA'!A16</f>
        <v>CAMPAMENTO</v>
      </c>
      <c r="B24" s="34">
        <f>'PROGRAMA LECTURA'!AW16</f>
        <v>0.82352941176470584</v>
      </c>
      <c r="G24" s="18">
        <f t="shared" si="0"/>
        <v>0</v>
      </c>
    </row>
    <row r="25" spans="1:7" x14ac:dyDescent="0.25">
      <c r="A25" t="str">
        <f>'PROGRAMA LECTURA'!A17</f>
        <v>COMEDOR</v>
      </c>
      <c r="B25" s="34">
        <f>'PROGRAMA LECTURA'!AW17</f>
        <v>0.82352941176470584</v>
      </c>
    </row>
    <row r="26" spans="1:7" x14ac:dyDescent="0.25">
      <c r="A26" t="str">
        <f>'PROGRAMA LECTURA'!A18</f>
        <v>MEDIO AMBIENTE</v>
      </c>
      <c r="B26" s="34">
        <f>'PROGRAMA LECTURA'!AW18</f>
        <v>0.82352941176470584</v>
      </c>
    </row>
    <row r="27" spans="1:7" x14ac:dyDescent="0.25">
      <c r="A27" t="str">
        <f>'PROGRAMA LECTURA'!A19</f>
        <v>GEOLOGÍA</v>
      </c>
      <c r="B27" s="34">
        <f>'PROGRAMA LECTURA'!AW19</f>
        <v>0.82352941176470584</v>
      </c>
    </row>
    <row r="28" spans="1:7" x14ac:dyDescent="0.25">
      <c r="A28" t="str">
        <f>'PROGRAMA LECTURA'!A20</f>
        <v>LOGÍSTICA</v>
      </c>
      <c r="B28" s="34">
        <f>'PROGRAMA LECTURA'!AW20</f>
        <v>0.82352941176470584</v>
      </c>
    </row>
    <row r="29" spans="1:7" x14ac:dyDescent="0.25">
      <c r="A29" t="str">
        <f>'PROGRAMA LECTURA'!A21</f>
        <v>RENTACAR</v>
      </c>
      <c r="B29" s="34">
        <f>'PROGRAMA LECTURA'!AW21</f>
        <v>0.82352941176470584</v>
      </c>
    </row>
    <row r="30" spans="1:7" x14ac:dyDescent="0.25">
      <c r="A30" t="str">
        <f>'PROGRAMA LECTURA'!A22</f>
        <v>IRENE</v>
      </c>
      <c r="B30" s="34">
        <f>'PROGRAMA LECTURA'!AW22</f>
        <v>0.82352941176470584</v>
      </c>
    </row>
    <row r="31" spans="1:7" x14ac:dyDescent="0.25">
      <c r="A31" t="str">
        <f>'PROGRAMA LECTURA'!A23</f>
        <v>OBRAS CIVILES</v>
      </c>
      <c r="B31" s="34">
        <f>'PROGRAMA LECTURA'!AW23</f>
        <v>0.82352941176470584</v>
      </c>
    </row>
    <row r="32" spans="1:7" x14ac:dyDescent="0.25">
      <c r="A32" t="str">
        <f>'PROGRAMA LECTURA'!A24</f>
        <v>DIAMANTINA</v>
      </c>
      <c r="B32" s="34">
        <f>'PROGRAMA LECTURA'!AW24</f>
        <v>0.82352941176470584</v>
      </c>
    </row>
    <row r="33" spans="1:2" x14ac:dyDescent="0.25">
      <c r="A33" t="str">
        <f>'PROGRAMA LECTURA'!A25</f>
        <v>CONGEMIN</v>
      </c>
      <c r="B33" s="34">
        <f>'PROGRAMA LECTURA'!AW25</f>
        <v>0.82352941176470584</v>
      </c>
    </row>
  </sheetData>
  <mergeCells count="13">
    <mergeCell ref="D12:F14"/>
    <mergeCell ref="D16:L16"/>
    <mergeCell ref="A6:C8"/>
    <mergeCell ref="D6:F8"/>
    <mergeCell ref="G6:I8"/>
    <mergeCell ref="J6:L8"/>
    <mergeCell ref="D11:F11"/>
    <mergeCell ref="A1:N2"/>
    <mergeCell ref="B3:D3"/>
    <mergeCell ref="A5:C5"/>
    <mergeCell ref="D5:F5"/>
    <mergeCell ref="G5:I5"/>
    <mergeCell ref="J5:L5"/>
  </mergeCells>
  <conditionalFormatting sqref="B19:B33">
    <cfRule type="dataBar" priority="1">
      <dataBar>
        <cfvo type="min"/>
        <cfvo type="max"/>
        <color rgb="FF5B9BD5"/>
      </dataBar>
    </cfRule>
  </conditionalFormatting>
  <conditionalFormatting sqref="B19:B33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{73AC565A-CD0F-A125-1140-E257223D1650}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AC565A-CD0F-A125-1140-E257223D1650}">
            <x14:dataBar>
              <x14:cfvo type="min"/>
              <x14:cfvo type="max"/>
              <x14:negativeFillColor auto="1"/>
              <x14:axisColor auto="1"/>
            </x14:dataBar>
          </x14:cfRule>
          <xm:sqref>B19:B33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'PROGRAMA LECTURA'!$A$11:$A$25</xm:f>
          </x14:formula1>
          <xm:sqref>B3:D3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6"/>
  <sheetViews>
    <sheetView topLeftCell="A46" workbookViewId="0">
      <selection activeCell="M7" sqref="M7"/>
    </sheetView>
  </sheetViews>
  <sheetFormatPr baseColWidth="10" defaultColWidth="9.140625" defaultRowHeight="15" x14ac:dyDescent="0.25"/>
  <cols>
    <col min="1" max="1" width="22" customWidth="1"/>
    <col min="2" max="3" width="12" customWidth="1"/>
    <col min="4" max="4" width="48" customWidth="1"/>
    <col min="5" max="11" width="16" customWidth="1"/>
  </cols>
  <sheetData>
    <row r="1" spans="1:12" ht="30" x14ac:dyDescent="0.25">
      <c r="A1" s="36" t="s">
        <v>99</v>
      </c>
      <c r="B1" s="36" t="s">
        <v>78</v>
      </c>
      <c r="C1" s="36" t="s">
        <v>79</v>
      </c>
      <c r="D1" s="36" t="s">
        <v>80</v>
      </c>
      <c r="E1" s="36" t="s">
        <v>94</v>
      </c>
      <c r="F1" s="36" t="s">
        <v>101</v>
      </c>
      <c r="G1" s="36" t="s">
        <v>81</v>
      </c>
      <c r="H1" s="36" t="s">
        <v>82</v>
      </c>
      <c r="I1" s="36" t="s">
        <v>83</v>
      </c>
      <c r="J1" s="36" t="s">
        <v>102</v>
      </c>
      <c r="K1" s="36" t="s">
        <v>103</v>
      </c>
      <c r="L1" s="36" t="s">
        <v>104</v>
      </c>
    </row>
    <row r="2" spans="1:12" x14ac:dyDescent="0.25">
      <c r="A2" t="s">
        <v>58</v>
      </c>
      <c r="B2" t="s">
        <v>6</v>
      </c>
      <c r="C2">
        <v>1</v>
      </c>
      <c r="D2" t="s">
        <v>38</v>
      </c>
      <c r="E2" t="str">
        <f>'CUMPLIMIENTO GUARDIAS'!J2</f>
        <v>C</v>
      </c>
      <c r="F2" s="34">
        <f>'CUMPLIMIENTO GUARDIAS'!I2</f>
        <v>1</v>
      </c>
      <c r="G2" t="str">
        <f>'CUMPLIMIENTO GUARDIAS'!E2</f>
        <v>C</v>
      </c>
      <c r="H2" t="str">
        <f>'CUMPLIMIENTO GUARDIAS'!F2</f>
        <v>C</v>
      </c>
      <c r="I2" t="str">
        <f>'CUMPLIMIENTO GUARDIAS'!G2</f>
        <v>C</v>
      </c>
      <c r="J2">
        <f>--(C2&lt;=MATCH('DASHBOARD AVANZADO'!$G$3,'DASHBOARD AVANZADO'!$Q$1:$Q$12,0))</f>
        <v>1</v>
      </c>
      <c r="K2">
        <f t="shared" ref="K2:K65" si="0">IF(E2="C",1,0)</f>
        <v>1</v>
      </c>
      <c r="L2">
        <v>2</v>
      </c>
    </row>
    <row r="3" spans="1:12" x14ac:dyDescent="0.25">
      <c r="A3" t="s">
        <v>58</v>
      </c>
      <c r="B3" t="s">
        <v>6</v>
      </c>
      <c r="C3">
        <v>1</v>
      </c>
      <c r="D3" t="s">
        <v>39</v>
      </c>
      <c r="E3" t="str">
        <f>'CUMPLIMIENTO GUARDIAS'!J3</f>
        <v>C</v>
      </c>
      <c r="F3" s="34">
        <f>'CUMPLIMIENTO GUARDIAS'!I3</f>
        <v>1</v>
      </c>
      <c r="G3" t="str">
        <f>'CUMPLIMIENTO GUARDIAS'!E3</f>
        <v>C</v>
      </c>
      <c r="H3" t="str">
        <f>'CUMPLIMIENTO GUARDIAS'!F3</f>
        <v>C</v>
      </c>
      <c r="I3" t="str">
        <f>'CUMPLIMIENTO GUARDIAS'!G3</f>
        <v>C</v>
      </c>
      <c r="J3">
        <f>--(C3&lt;=MATCH('DASHBOARD AVANZADO'!$G$3,'DASHBOARD AVANZADO'!$Q$1:$Q$12,0))</f>
        <v>1</v>
      </c>
      <c r="K3">
        <f t="shared" si="0"/>
        <v>1</v>
      </c>
      <c r="L3">
        <v>3</v>
      </c>
    </row>
    <row r="4" spans="1:12" x14ac:dyDescent="0.25">
      <c r="A4" t="s">
        <v>58</v>
      </c>
      <c r="B4" t="s">
        <v>7</v>
      </c>
      <c r="C4">
        <v>2</v>
      </c>
      <c r="D4" t="s">
        <v>40</v>
      </c>
      <c r="E4" t="str">
        <f>'CUMPLIMIENTO GUARDIAS'!J4</f>
        <v>C</v>
      </c>
      <c r="F4" s="34">
        <f>'CUMPLIMIENTO GUARDIAS'!I4</f>
        <v>1</v>
      </c>
      <c r="G4" t="str">
        <f>'CUMPLIMIENTO GUARDIAS'!E4</f>
        <v>C</v>
      </c>
      <c r="H4" t="str">
        <f>'CUMPLIMIENTO GUARDIAS'!F4</f>
        <v>C</v>
      </c>
      <c r="I4" t="str">
        <f>'CUMPLIMIENTO GUARDIAS'!G4</f>
        <v>C</v>
      </c>
      <c r="J4">
        <f>--(C4&lt;=MATCH('DASHBOARD AVANZADO'!$G$3,'DASHBOARD AVANZADO'!$Q$1:$Q$12,0))</f>
        <v>1</v>
      </c>
      <c r="K4">
        <f t="shared" si="0"/>
        <v>1</v>
      </c>
      <c r="L4">
        <v>4</v>
      </c>
    </row>
    <row r="5" spans="1:12" x14ac:dyDescent="0.25">
      <c r="A5" t="s">
        <v>58</v>
      </c>
      <c r="B5" t="s">
        <v>7</v>
      </c>
      <c r="C5">
        <v>2</v>
      </c>
      <c r="D5" t="s">
        <v>20</v>
      </c>
      <c r="E5" t="str">
        <f>'CUMPLIMIENTO GUARDIAS'!J5</f>
        <v>C</v>
      </c>
      <c r="F5" s="34">
        <f>'CUMPLIMIENTO GUARDIAS'!I5</f>
        <v>1</v>
      </c>
      <c r="G5" t="str">
        <f>'CUMPLIMIENTO GUARDIAS'!E5</f>
        <v>C</v>
      </c>
      <c r="H5" t="str">
        <f>'CUMPLIMIENTO GUARDIAS'!F5</f>
        <v>C</v>
      </c>
      <c r="I5" t="str">
        <f>'CUMPLIMIENTO GUARDIAS'!G5</f>
        <v>C</v>
      </c>
      <c r="J5">
        <f>--(C5&lt;=MATCH('DASHBOARD AVANZADO'!$G$3,'DASHBOARD AVANZADO'!$Q$1:$Q$12,0))</f>
        <v>1</v>
      </c>
      <c r="K5">
        <f t="shared" si="0"/>
        <v>1</v>
      </c>
      <c r="L5">
        <v>5</v>
      </c>
    </row>
    <row r="6" spans="1:12" x14ac:dyDescent="0.25">
      <c r="A6" t="s">
        <v>58</v>
      </c>
      <c r="B6" t="s">
        <v>8</v>
      </c>
      <c r="C6">
        <v>3</v>
      </c>
      <c r="D6" t="s">
        <v>41</v>
      </c>
      <c r="E6" t="str">
        <f>'CUMPLIMIENTO GUARDIAS'!J6</f>
        <v>C</v>
      </c>
      <c r="F6" s="34">
        <f>'CUMPLIMIENTO GUARDIAS'!I6</f>
        <v>1</v>
      </c>
      <c r="G6" t="str">
        <f>'CUMPLIMIENTO GUARDIAS'!E6</f>
        <v>C</v>
      </c>
      <c r="H6" t="str">
        <f>'CUMPLIMIENTO GUARDIAS'!F6</f>
        <v>C</v>
      </c>
      <c r="I6" t="str">
        <f>'CUMPLIMIENTO GUARDIAS'!G6</f>
        <v>C</v>
      </c>
      <c r="J6">
        <f>--(C6&lt;=MATCH('DASHBOARD AVANZADO'!$G$3,'DASHBOARD AVANZADO'!$Q$1:$Q$12,0))</f>
        <v>1</v>
      </c>
      <c r="K6">
        <f t="shared" si="0"/>
        <v>1</v>
      </c>
      <c r="L6">
        <v>6</v>
      </c>
    </row>
    <row r="7" spans="1:12" x14ac:dyDescent="0.25">
      <c r="A7" t="s">
        <v>58</v>
      </c>
      <c r="B7" t="s">
        <v>8</v>
      </c>
      <c r="C7">
        <v>3</v>
      </c>
      <c r="D7" t="s">
        <v>42</v>
      </c>
      <c r="E7" t="str">
        <f>'CUMPLIMIENTO GUARDIAS'!J7</f>
        <v>C</v>
      </c>
      <c r="F7" s="34">
        <f>'CUMPLIMIENTO GUARDIAS'!I7</f>
        <v>1</v>
      </c>
      <c r="G7" t="str">
        <f>'CUMPLIMIENTO GUARDIAS'!E7</f>
        <v>C</v>
      </c>
      <c r="H7" t="str">
        <f>'CUMPLIMIENTO GUARDIAS'!F7</f>
        <v>C</v>
      </c>
      <c r="I7" t="str">
        <f>'CUMPLIMIENTO GUARDIAS'!G7</f>
        <v>C</v>
      </c>
      <c r="J7">
        <f>--(C7&lt;=MATCH('DASHBOARD AVANZADO'!$G$3,'DASHBOARD AVANZADO'!$Q$1:$Q$12,0))</f>
        <v>1</v>
      </c>
      <c r="K7">
        <f t="shared" si="0"/>
        <v>1</v>
      </c>
      <c r="L7">
        <v>7</v>
      </c>
    </row>
    <row r="8" spans="1:12" x14ac:dyDescent="0.25">
      <c r="A8" t="s">
        <v>58</v>
      </c>
      <c r="B8" t="s">
        <v>9</v>
      </c>
      <c r="C8">
        <v>4</v>
      </c>
      <c r="D8" t="s">
        <v>43</v>
      </c>
      <c r="E8" t="str">
        <f>'CUMPLIMIENTO GUARDIAS'!J8</f>
        <v>C</v>
      </c>
      <c r="F8" s="34">
        <f>'CUMPLIMIENTO GUARDIAS'!I8</f>
        <v>1</v>
      </c>
      <c r="G8" t="str">
        <f>'CUMPLIMIENTO GUARDIAS'!E8</f>
        <v>C</v>
      </c>
      <c r="H8" t="str">
        <f>'CUMPLIMIENTO GUARDIAS'!F8</f>
        <v>C</v>
      </c>
      <c r="I8" t="str">
        <f>'CUMPLIMIENTO GUARDIAS'!G8</f>
        <v>C</v>
      </c>
      <c r="J8">
        <f>--(C8&lt;=MATCH('DASHBOARD AVANZADO'!$G$3,'DASHBOARD AVANZADO'!$Q$1:$Q$12,0))</f>
        <v>1</v>
      </c>
      <c r="K8">
        <f t="shared" si="0"/>
        <v>1</v>
      </c>
      <c r="L8">
        <v>8</v>
      </c>
    </row>
    <row r="9" spans="1:12" x14ac:dyDescent="0.25">
      <c r="A9" t="s">
        <v>58</v>
      </c>
      <c r="B9" t="s">
        <v>9</v>
      </c>
      <c r="C9">
        <v>4</v>
      </c>
      <c r="D9" t="s">
        <v>44</v>
      </c>
      <c r="E9" t="str">
        <f>'CUMPLIMIENTO GUARDIAS'!J9</f>
        <v>C</v>
      </c>
      <c r="F9" s="34">
        <f>'CUMPLIMIENTO GUARDIAS'!I9</f>
        <v>1</v>
      </c>
      <c r="G9" t="str">
        <f>'CUMPLIMIENTO GUARDIAS'!E9</f>
        <v>C</v>
      </c>
      <c r="H9" t="str">
        <f>'CUMPLIMIENTO GUARDIAS'!F9</f>
        <v>C</v>
      </c>
      <c r="I9" t="str">
        <f>'CUMPLIMIENTO GUARDIAS'!G9</f>
        <v>C</v>
      </c>
      <c r="J9">
        <f>--(C9&lt;=MATCH('DASHBOARD AVANZADO'!$G$3,'DASHBOARD AVANZADO'!$Q$1:$Q$12,0))</f>
        <v>1</v>
      </c>
      <c r="K9">
        <f t="shared" si="0"/>
        <v>1</v>
      </c>
      <c r="L9">
        <v>9</v>
      </c>
    </row>
    <row r="10" spans="1:12" x14ac:dyDescent="0.25">
      <c r="A10" t="s">
        <v>58</v>
      </c>
      <c r="B10" t="s">
        <v>9</v>
      </c>
      <c r="C10">
        <v>4</v>
      </c>
      <c r="D10" t="s">
        <v>45</v>
      </c>
      <c r="E10" t="str">
        <f>'CUMPLIMIENTO GUARDIAS'!J10</f>
        <v>C</v>
      </c>
      <c r="F10" s="34">
        <f>'CUMPLIMIENTO GUARDIAS'!I10</f>
        <v>1</v>
      </c>
      <c r="G10" t="str">
        <f>'CUMPLIMIENTO GUARDIAS'!E10</f>
        <v>C</v>
      </c>
      <c r="H10" t="str">
        <f>'CUMPLIMIENTO GUARDIAS'!F10</f>
        <v>C</v>
      </c>
      <c r="I10" t="str">
        <f>'CUMPLIMIENTO GUARDIAS'!G10</f>
        <v>C</v>
      </c>
      <c r="J10">
        <f>--(C10&lt;=MATCH('DASHBOARD AVANZADO'!$G$3,'DASHBOARD AVANZADO'!$Q$1:$Q$12,0))</f>
        <v>1</v>
      </c>
      <c r="K10">
        <f t="shared" si="0"/>
        <v>1</v>
      </c>
      <c r="L10">
        <v>10</v>
      </c>
    </row>
    <row r="11" spans="1:12" x14ac:dyDescent="0.25">
      <c r="A11" t="s">
        <v>58</v>
      </c>
      <c r="B11" t="s">
        <v>10</v>
      </c>
      <c r="C11">
        <v>5</v>
      </c>
      <c r="D11" t="s">
        <v>46</v>
      </c>
      <c r="E11" t="str">
        <f>'CUMPLIMIENTO GUARDIAS'!J11</f>
        <v>C</v>
      </c>
      <c r="F11" s="34">
        <f>'CUMPLIMIENTO GUARDIAS'!I11</f>
        <v>1</v>
      </c>
      <c r="G11" t="str">
        <f>'CUMPLIMIENTO GUARDIAS'!E11</f>
        <v>C</v>
      </c>
      <c r="H11" t="str">
        <f>'CUMPLIMIENTO GUARDIAS'!F11</f>
        <v>C</v>
      </c>
      <c r="I11" t="str">
        <f>'CUMPLIMIENTO GUARDIAS'!G11</f>
        <v>C</v>
      </c>
      <c r="J11">
        <f>--(C11&lt;=MATCH('DASHBOARD AVANZADO'!$G$3,'DASHBOARD AVANZADO'!$Q$1:$Q$12,0))</f>
        <v>1</v>
      </c>
      <c r="K11">
        <f t="shared" si="0"/>
        <v>1</v>
      </c>
      <c r="L11">
        <v>11</v>
      </c>
    </row>
    <row r="12" spans="1:12" x14ac:dyDescent="0.25">
      <c r="A12" t="s">
        <v>58</v>
      </c>
      <c r="B12" t="s">
        <v>10</v>
      </c>
      <c r="C12">
        <v>5</v>
      </c>
      <c r="D12" t="s">
        <v>47</v>
      </c>
      <c r="E12" t="str">
        <f>'CUMPLIMIENTO GUARDIAS'!J12</f>
        <v>C</v>
      </c>
      <c r="F12" s="34">
        <f>'CUMPLIMIENTO GUARDIAS'!I12</f>
        <v>1</v>
      </c>
      <c r="G12" t="str">
        <f>'CUMPLIMIENTO GUARDIAS'!E12</f>
        <v>C</v>
      </c>
      <c r="H12" t="str">
        <f>'CUMPLIMIENTO GUARDIAS'!F12</f>
        <v>C</v>
      </c>
      <c r="I12" t="str">
        <f>'CUMPLIMIENTO GUARDIAS'!G12</f>
        <v>C</v>
      </c>
      <c r="J12">
        <f>--(C12&lt;=MATCH('DASHBOARD AVANZADO'!$G$3,'DASHBOARD AVANZADO'!$Q$1:$Q$12,0))</f>
        <v>1</v>
      </c>
      <c r="K12">
        <f t="shared" si="0"/>
        <v>1</v>
      </c>
      <c r="L12">
        <v>12</v>
      </c>
    </row>
    <row r="13" spans="1:12" x14ac:dyDescent="0.25">
      <c r="A13" t="s">
        <v>58</v>
      </c>
      <c r="B13" t="s">
        <v>11</v>
      </c>
      <c r="C13">
        <v>6</v>
      </c>
      <c r="D13" t="s">
        <v>20</v>
      </c>
      <c r="E13" t="str">
        <f>'CUMPLIMIENTO GUARDIAS'!J13</f>
        <v>C</v>
      </c>
      <c r="F13" s="34">
        <f>'CUMPLIMIENTO GUARDIAS'!I13</f>
        <v>1</v>
      </c>
      <c r="G13" t="str">
        <f>'CUMPLIMIENTO GUARDIAS'!E13</f>
        <v>C</v>
      </c>
      <c r="H13" t="str">
        <f>'CUMPLIMIENTO GUARDIAS'!F13</f>
        <v>C</v>
      </c>
      <c r="I13" t="str">
        <f>'CUMPLIMIENTO GUARDIAS'!G13</f>
        <v>C</v>
      </c>
      <c r="J13">
        <f>--(C13&lt;=MATCH('DASHBOARD AVANZADO'!$G$3,'DASHBOARD AVANZADO'!$Q$1:$Q$12,0))</f>
        <v>1</v>
      </c>
      <c r="K13">
        <f t="shared" si="0"/>
        <v>1</v>
      </c>
      <c r="L13">
        <v>13</v>
      </c>
    </row>
    <row r="14" spans="1:12" x14ac:dyDescent="0.25">
      <c r="A14" t="s">
        <v>58</v>
      </c>
      <c r="B14" t="s">
        <v>11</v>
      </c>
      <c r="C14">
        <v>6</v>
      </c>
      <c r="D14" t="s">
        <v>48</v>
      </c>
      <c r="E14" t="str">
        <f>'CUMPLIMIENTO GUARDIAS'!J14</f>
        <v>C</v>
      </c>
      <c r="F14" s="34">
        <f>'CUMPLIMIENTO GUARDIAS'!I14</f>
        <v>1</v>
      </c>
      <c r="G14" t="str">
        <f>'CUMPLIMIENTO GUARDIAS'!E14</f>
        <v>C</v>
      </c>
      <c r="H14" t="str">
        <f>'CUMPLIMIENTO GUARDIAS'!F14</f>
        <v>C</v>
      </c>
      <c r="I14" t="str">
        <f>'CUMPLIMIENTO GUARDIAS'!G14</f>
        <v>C</v>
      </c>
      <c r="J14">
        <f>--(C14&lt;=MATCH('DASHBOARD AVANZADO'!$G$3,'DASHBOARD AVANZADO'!$Q$1:$Q$12,0))</f>
        <v>1</v>
      </c>
      <c r="K14">
        <f t="shared" si="0"/>
        <v>1</v>
      </c>
      <c r="L14">
        <v>14</v>
      </c>
    </row>
    <row r="15" spans="1:12" x14ac:dyDescent="0.25">
      <c r="A15" t="s">
        <v>58</v>
      </c>
      <c r="B15" t="s">
        <v>11</v>
      </c>
      <c r="C15">
        <v>6</v>
      </c>
      <c r="D15" t="s">
        <v>49</v>
      </c>
      <c r="E15" t="str">
        <f>'CUMPLIMIENTO GUARDIAS'!J15</f>
        <v>F</v>
      </c>
      <c r="F15" s="34">
        <f>'CUMPLIMIENTO GUARDIAS'!I15</f>
        <v>0</v>
      </c>
      <c r="G15" t="str">
        <f>'CUMPLIMIENTO GUARDIAS'!E15</f>
        <v>F</v>
      </c>
      <c r="H15" t="str">
        <f>'CUMPLIMIENTO GUARDIAS'!F15</f>
        <v>F</v>
      </c>
      <c r="I15" t="str">
        <f>'CUMPLIMIENTO GUARDIAS'!G15</f>
        <v>F</v>
      </c>
      <c r="J15">
        <f>--(C15&lt;=MATCH('DASHBOARD AVANZADO'!$G$3,'DASHBOARD AVANZADO'!$Q$1:$Q$12,0))</f>
        <v>1</v>
      </c>
      <c r="K15">
        <f t="shared" si="0"/>
        <v>0</v>
      </c>
      <c r="L15">
        <v>15</v>
      </c>
    </row>
    <row r="16" spans="1:12" x14ac:dyDescent="0.25">
      <c r="A16" t="s">
        <v>58</v>
      </c>
      <c r="B16" t="s">
        <v>12</v>
      </c>
      <c r="C16">
        <v>7</v>
      </c>
      <c r="D16" t="s">
        <v>38</v>
      </c>
      <c r="E16" t="str">
        <f>'CUMPLIMIENTO GUARDIAS'!J16</f>
        <v>C</v>
      </c>
      <c r="F16" s="34">
        <f>'CUMPLIMIENTO GUARDIAS'!I16</f>
        <v>1</v>
      </c>
      <c r="G16" t="str">
        <f>'CUMPLIMIENTO GUARDIAS'!E16</f>
        <v>C</v>
      </c>
      <c r="H16" t="str">
        <f>'CUMPLIMIENTO GUARDIAS'!F16</f>
        <v>C</v>
      </c>
      <c r="I16" t="str">
        <f>'CUMPLIMIENTO GUARDIAS'!G16</f>
        <v>C</v>
      </c>
      <c r="J16">
        <f>--(C16&lt;=MATCH('DASHBOARD AVANZADO'!$G$3,'DASHBOARD AVANZADO'!$Q$1:$Q$12,0))</f>
        <v>1</v>
      </c>
      <c r="K16">
        <f t="shared" si="0"/>
        <v>1</v>
      </c>
      <c r="L16">
        <v>16</v>
      </c>
    </row>
    <row r="17" spans="1:12" x14ac:dyDescent="0.25">
      <c r="A17" t="s">
        <v>58</v>
      </c>
      <c r="B17" t="s">
        <v>12</v>
      </c>
      <c r="C17">
        <v>7</v>
      </c>
      <c r="D17" t="s">
        <v>87</v>
      </c>
      <c r="E17" t="str">
        <f>'CUMPLIMIENTO GUARDIAS'!J17</f>
        <v>F</v>
      </c>
      <c r="F17" s="34">
        <f>'CUMPLIMIENTO GUARDIAS'!I17</f>
        <v>0</v>
      </c>
      <c r="G17">
        <f>'CUMPLIMIENTO GUARDIAS'!E17</f>
        <v>0</v>
      </c>
      <c r="H17">
        <f>'CUMPLIMIENTO GUARDIAS'!F17</f>
        <v>0</v>
      </c>
      <c r="I17">
        <f>'CUMPLIMIENTO GUARDIAS'!G17</f>
        <v>0</v>
      </c>
      <c r="J17">
        <f>--(C17&lt;=MATCH('DASHBOARD AVANZADO'!$G$3,'DASHBOARD AVANZADO'!$Q$1:$Q$12,0))</f>
        <v>1</v>
      </c>
      <c r="K17">
        <f t="shared" si="0"/>
        <v>0</v>
      </c>
      <c r="L17">
        <v>17</v>
      </c>
    </row>
    <row r="18" spans="1:12" x14ac:dyDescent="0.25">
      <c r="A18" t="s">
        <v>58</v>
      </c>
      <c r="B18" t="s">
        <v>12</v>
      </c>
      <c r="C18">
        <v>7</v>
      </c>
      <c r="D18" t="s">
        <v>51</v>
      </c>
      <c r="E18" t="str">
        <f>'CUMPLIMIENTO GUARDIAS'!J18</f>
        <v>EP</v>
      </c>
      <c r="F18" s="34">
        <f>'CUMPLIMIENTO GUARDIAS'!I18</f>
        <v>0</v>
      </c>
      <c r="G18" t="str">
        <f>'CUMPLIMIENTO GUARDIAS'!E18</f>
        <v>EP</v>
      </c>
      <c r="H18" t="str">
        <f>'CUMPLIMIENTO GUARDIAS'!F18</f>
        <v>EP</v>
      </c>
      <c r="I18" t="str">
        <f>'CUMPLIMIENTO GUARDIAS'!G18</f>
        <v>EP</v>
      </c>
      <c r="J18">
        <f>--(C18&lt;=MATCH('DASHBOARD AVANZADO'!$G$3,'DASHBOARD AVANZADO'!$Q$1:$Q$12,0))</f>
        <v>1</v>
      </c>
      <c r="K18">
        <f t="shared" si="0"/>
        <v>0</v>
      </c>
      <c r="L18">
        <v>18</v>
      </c>
    </row>
    <row r="19" spans="1:12" x14ac:dyDescent="0.25">
      <c r="A19" t="s">
        <v>58</v>
      </c>
      <c r="B19" t="s">
        <v>13</v>
      </c>
      <c r="C19">
        <v>8</v>
      </c>
      <c r="D19" t="s">
        <v>52</v>
      </c>
      <c r="E19">
        <f>'CUMPLIMIENTO GUARDIAS'!J19</f>
        <v>0</v>
      </c>
      <c r="F19" s="34">
        <f>'CUMPLIMIENTO GUARDIAS'!I19</f>
        <v>0</v>
      </c>
      <c r="G19">
        <f>'CUMPLIMIENTO GUARDIAS'!E19</f>
        <v>0</v>
      </c>
      <c r="H19">
        <f>'CUMPLIMIENTO GUARDIAS'!F19</f>
        <v>0</v>
      </c>
      <c r="I19">
        <f>'CUMPLIMIENTO GUARDIAS'!G19</f>
        <v>0</v>
      </c>
      <c r="J19">
        <f>--(C19&lt;=MATCH('DASHBOARD AVANZADO'!$G$3,'DASHBOARD AVANZADO'!$Q$1:$Q$12,0))</f>
        <v>0</v>
      </c>
      <c r="K19">
        <f t="shared" si="0"/>
        <v>0</v>
      </c>
      <c r="L19">
        <v>19</v>
      </c>
    </row>
    <row r="20" spans="1:12" x14ac:dyDescent="0.25">
      <c r="A20" t="s">
        <v>58</v>
      </c>
      <c r="B20" t="s">
        <v>13</v>
      </c>
      <c r="C20">
        <v>8</v>
      </c>
      <c r="D20" t="s">
        <v>53</v>
      </c>
      <c r="E20">
        <f>'CUMPLIMIENTO GUARDIAS'!J20</f>
        <v>0</v>
      </c>
      <c r="F20" s="34">
        <f>'CUMPLIMIENTO GUARDIAS'!I20</f>
        <v>0</v>
      </c>
      <c r="G20">
        <f>'CUMPLIMIENTO GUARDIAS'!E20</f>
        <v>0</v>
      </c>
      <c r="H20">
        <f>'CUMPLIMIENTO GUARDIAS'!F20</f>
        <v>0</v>
      </c>
      <c r="I20">
        <f>'CUMPLIMIENTO GUARDIAS'!G20</f>
        <v>0</v>
      </c>
      <c r="J20">
        <f>--(C20&lt;=MATCH('DASHBOARD AVANZADO'!$G$3,'DASHBOARD AVANZADO'!$Q$1:$Q$12,0))</f>
        <v>0</v>
      </c>
      <c r="K20">
        <f t="shared" si="0"/>
        <v>0</v>
      </c>
      <c r="L20">
        <v>20</v>
      </c>
    </row>
    <row r="21" spans="1:12" x14ac:dyDescent="0.25">
      <c r="A21" t="s">
        <v>58</v>
      </c>
      <c r="B21" t="s">
        <v>13</v>
      </c>
      <c r="C21">
        <v>8</v>
      </c>
      <c r="D21" t="s">
        <v>54</v>
      </c>
      <c r="E21">
        <f>'CUMPLIMIENTO GUARDIAS'!J21</f>
        <v>0</v>
      </c>
      <c r="F21" s="34">
        <f>'CUMPLIMIENTO GUARDIAS'!I21</f>
        <v>0</v>
      </c>
      <c r="G21">
        <f>'CUMPLIMIENTO GUARDIAS'!E21</f>
        <v>0</v>
      </c>
      <c r="H21">
        <f>'CUMPLIMIENTO GUARDIAS'!F21</f>
        <v>0</v>
      </c>
      <c r="I21">
        <f>'CUMPLIMIENTO GUARDIAS'!G21</f>
        <v>0</v>
      </c>
      <c r="J21">
        <f>--(C21&lt;=MATCH('DASHBOARD AVANZADO'!$G$3,'DASHBOARD AVANZADO'!$Q$1:$Q$12,0))</f>
        <v>0</v>
      </c>
      <c r="K21">
        <f t="shared" si="0"/>
        <v>0</v>
      </c>
      <c r="L21">
        <v>21</v>
      </c>
    </row>
    <row r="22" spans="1:12" x14ac:dyDescent="0.25">
      <c r="A22" t="s">
        <v>58</v>
      </c>
      <c r="B22" t="s">
        <v>14</v>
      </c>
      <c r="C22">
        <v>9</v>
      </c>
      <c r="D22" t="s">
        <v>55</v>
      </c>
      <c r="E22">
        <f>'CUMPLIMIENTO GUARDIAS'!J22</f>
        <v>0</v>
      </c>
      <c r="F22" s="34">
        <f>'CUMPLIMIENTO GUARDIAS'!I22</f>
        <v>0</v>
      </c>
      <c r="G22">
        <f>'CUMPLIMIENTO GUARDIAS'!E22</f>
        <v>0</v>
      </c>
      <c r="H22">
        <f>'CUMPLIMIENTO GUARDIAS'!F22</f>
        <v>0</v>
      </c>
      <c r="I22">
        <f>'CUMPLIMIENTO GUARDIAS'!G22</f>
        <v>0</v>
      </c>
      <c r="J22">
        <f>--(C22&lt;=MATCH('DASHBOARD AVANZADO'!$G$3,'DASHBOARD AVANZADO'!$Q$1:$Q$12,0))</f>
        <v>0</v>
      </c>
      <c r="K22">
        <f t="shared" si="0"/>
        <v>0</v>
      </c>
      <c r="L22">
        <v>22</v>
      </c>
    </row>
    <row r="23" spans="1:12" x14ac:dyDescent="0.25">
      <c r="A23" t="s">
        <v>58</v>
      </c>
      <c r="B23" t="s">
        <v>14</v>
      </c>
      <c r="C23">
        <v>9</v>
      </c>
      <c r="D23" t="s">
        <v>56</v>
      </c>
      <c r="E23">
        <f>'CUMPLIMIENTO GUARDIAS'!J23</f>
        <v>0</v>
      </c>
      <c r="F23" s="34">
        <f>'CUMPLIMIENTO GUARDIAS'!I23</f>
        <v>0</v>
      </c>
      <c r="G23">
        <f>'CUMPLIMIENTO GUARDIAS'!E23</f>
        <v>0</v>
      </c>
      <c r="H23">
        <f>'CUMPLIMIENTO GUARDIAS'!F23</f>
        <v>0</v>
      </c>
      <c r="I23">
        <f>'CUMPLIMIENTO GUARDIAS'!G23</f>
        <v>0</v>
      </c>
      <c r="J23">
        <f>--(C23&lt;=MATCH('DASHBOARD AVANZADO'!$G$3,'DASHBOARD AVANZADO'!$Q$1:$Q$12,0))</f>
        <v>0</v>
      </c>
      <c r="K23">
        <f t="shared" si="0"/>
        <v>0</v>
      </c>
      <c r="L23">
        <v>23</v>
      </c>
    </row>
    <row r="24" spans="1:12" x14ac:dyDescent="0.25">
      <c r="A24" t="s">
        <v>58</v>
      </c>
      <c r="B24" t="s">
        <v>15</v>
      </c>
      <c r="C24">
        <v>10</v>
      </c>
      <c r="D24" t="s">
        <v>20</v>
      </c>
      <c r="E24">
        <f>'CUMPLIMIENTO GUARDIAS'!J24</f>
        <v>0</v>
      </c>
      <c r="F24" s="34">
        <f>'CUMPLIMIENTO GUARDIAS'!I24</f>
        <v>0</v>
      </c>
      <c r="G24">
        <f>'CUMPLIMIENTO GUARDIAS'!E24</f>
        <v>0</v>
      </c>
      <c r="H24">
        <f>'CUMPLIMIENTO GUARDIAS'!F24</f>
        <v>0</v>
      </c>
      <c r="I24">
        <f>'CUMPLIMIENTO GUARDIAS'!G24</f>
        <v>0</v>
      </c>
      <c r="J24">
        <f>--(C24&lt;=MATCH('DASHBOARD AVANZADO'!$G$3,'DASHBOARD AVANZADO'!$Q$1:$Q$12,0))</f>
        <v>0</v>
      </c>
      <c r="K24">
        <f t="shared" si="0"/>
        <v>0</v>
      </c>
      <c r="L24">
        <v>24</v>
      </c>
    </row>
    <row r="25" spans="1:12" x14ac:dyDescent="0.25">
      <c r="A25" t="s">
        <v>58</v>
      </c>
      <c r="B25" t="s">
        <v>15</v>
      </c>
      <c r="C25">
        <v>10</v>
      </c>
      <c r="D25" t="s">
        <v>42</v>
      </c>
      <c r="E25">
        <f>'CUMPLIMIENTO GUARDIAS'!J25</f>
        <v>0</v>
      </c>
      <c r="F25" s="34">
        <f>'CUMPLIMIENTO GUARDIAS'!I25</f>
        <v>0</v>
      </c>
      <c r="G25">
        <f>'CUMPLIMIENTO GUARDIAS'!E25</f>
        <v>0</v>
      </c>
      <c r="H25">
        <f>'CUMPLIMIENTO GUARDIAS'!F25</f>
        <v>0</v>
      </c>
      <c r="I25">
        <f>'CUMPLIMIENTO GUARDIAS'!G25</f>
        <v>0</v>
      </c>
      <c r="J25">
        <f>--(C25&lt;=MATCH('DASHBOARD AVANZADO'!$G$3,'DASHBOARD AVANZADO'!$Q$1:$Q$12,0))</f>
        <v>0</v>
      </c>
      <c r="K25">
        <f t="shared" si="0"/>
        <v>0</v>
      </c>
      <c r="L25">
        <v>25</v>
      </c>
    </row>
    <row r="26" spans="1:12" x14ac:dyDescent="0.25">
      <c r="A26" t="s">
        <v>58</v>
      </c>
      <c r="B26" t="s">
        <v>16</v>
      </c>
      <c r="C26">
        <v>11</v>
      </c>
      <c r="D26" t="s">
        <v>57</v>
      </c>
      <c r="E26">
        <f>'CUMPLIMIENTO GUARDIAS'!J26</f>
        <v>0</v>
      </c>
      <c r="F26" s="34">
        <f>'CUMPLIMIENTO GUARDIAS'!I26</f>
        <v>0</v>
      </c>
      <c r="G26">
        <f>'CUMPLIMIENTO GUARDIAS'!E26</f>
        <v>0</v>
      </c>
      <c r="H26">
        <f>'CUMPLIMIENTO GUARDIAS'!F26</f>
        <v>0</v>
      </c>
      <c r="I26">
        <f>'CUMPLIMIENTO GUARDIAS'!G26</f>
        <v>0</v>
      </c>
      <c r="J26">
        <f>--(C26&lt;=MATCH('DASHBOARD AVANZADO'!$G$3,'DASHBOARD AVANZADO'!$Q$1:$Q$12,0))</f>
        <v>0</v>
      </c>
      <c r="K26">
        <f t="shared" si="0"/>
        <v>0</v>
      </c>
      <c r="L26">
        <v>26</v>
      </c>
    </row>
    <row r="27" spans="1:12" x14ac:dyDescent="0.25">
      <c r="A27" t="s">
        <v>58</v>
      </c>
      <c r="B27" t="s">
        <v>16</v>
      </c>
      <c r="C27">
        <v>11</v>
      </c>
      <c r="D27" t="s">
        <v>39</v>
      </c>
      <c r="E27">
        <f>'CUMPLIMIENTO GUARDIAS'!J27</f>
        <v>0</v>
      </c>
      <c r="F27" s="34">
        <f>'CUMPLIMIENTO GUARDIAS'!I27</f>
        <v>0</v>
      </c>
      <c r="G27">
        <f>'CUMPLIMIENTO GUARDIAS'!E27</f>
        <v>0</v>
      </c>
      <c r="H27">
        <f>'CUMPLIMIENTO GUARDIAS'!F27</f>
        <v>0</v>
      </c>
      <c r="I27">
        <f>'CUMPLIMIENTO GUARDIAS'!G27</f>
        <v>0</v>
      </c>
      <c r="J27">
        <f>--(C27&lt;=MATCH('DASHBOARD AVANZADO'!$G$3,'DASHBOARD AVANZADO'!$Q$1:$Q$12,0))</f>
        <v>0</v>
      </c>
      <c r="K27">
        <f t="shared" si="0"/>
        <v>0</v>
      </c>
      <c r="L27">
        <v>27</v>
      </c>
    </row>
    <row r="28" spans="1:12" x14ac:dyDescent="0.25">
      <c r="A28" t="s">
        <v>58</v>
      </c>
      <c r="B28" t="s">
        <v>17</v>
      </c>
      <c r="C28">
        <v>12</v>
      </c>
      <c r="D28" t="s">
        <v>38</v>
      </c>
      <c r="E28">
        <f>'CUMPLIMIENTO GUARDIAS'!J28</f>
        <v>0</v>
      </c>
      <c r="F28" s="34">
        <f>'CUMPLIMIENTO GUARDIAS'!I28</f>
        <v>0</v>
      </c>
      <c r="G28">
        <f>'CUMPLIMIENTO GUARDIAS'!E28</f>
        <v>0</v>
      </c>
      <c r="H28">
        <f>'CUMPLIMIENTO GUARDIAS'!F28</f>
        <v>0</v>
      </c>
      <c r="I28">
        <f>'CUMPLIMIENTO GUARDIAS'!G28</f>
        <v>0</v>
      </c>
      <c r="J28">
        <f>--(C28&lt;=MATCH('DASHBOARD AVANZADO'!$G$3,'DASHBOARD AVANZADO'!$Q$1:$Q$12,0))</f>
        <v>0</v>
      </c>
      <c r="K28">
        <f t="shared" si="0"/>
        <v>0</v>
      </c>
      <c r="L28">
        <v>28</v>
      </c>
    </row>
    <row r="29" spans="1:12" x14ac:dyDescent="0.25">
      <c r="A29" t="s">
        <v>60</v>
      </c>
      <c r="B29" t="s">
        <v>6</v>
      </c>
      <c r="C29">
        <v>1</v>
      </c>
      <c r="D29" t="s">
        <v>38</v>
      </c>
      <c r="E29" t="str">
        <f>'CUMPLIMIENTO GUARDIAS'!J29</f>
        <v>C</v>
      </c>
      <c r="F29" s="34">
        <f>'CUMPLIMIENTO GUARDIAS'!I29</f>
        <v>1</v>
      </c>
      <c r="G29" t="str">
        <f>'CUMPLIMIENTO GUARDIAS'!E29</f>
        <v>C</v>
      </c>
      <c r="H29" t="str">
        <f>'CUMPLIMIENTO GUARDIAS'!F29</f>
        <v>C</v>
      </c>
      <c r="I29" t="str">
        <f>'CUMPLIMIENTO GUARDIAS'!G29</f>
        <v>C</v>
      </c>
      <c r="J29">
        <f>--(C29&lt;=MATCH('DASHBOARD AVANZADO'!$G$3,'DASHBOARD AVANZADO'!$Q$1:$Q$12,0))</f>
        <v>1</v>
      </c>
      <c r="K29">
        <f t="shared" si="0"/>
        <v>1</v>
      </c>
      <c r="L29">
        <v>29</v>
      </c>
    </row>
    <row r="30" spans="1:12" x14ac:dyDescent="0.25">
      <c r="A30" t="s">
        <v>60</v>
      </c>
      <c r="B30" t="s">
        <v>6</v>
      </c>
      <c r="C30">
        <v>1</v>
      </c>
      <c r="D30" t="s">
        <v>39</v>
      </c>
      <c r="E30" t="str">
        <f>'CUMPLIMIENTO GUARDIAS'!J30</f>
        <v>C</v>
      </c>
      <c r="F30" s="34">
        <f>'CUMPLIMIENTO GUARDIAS'!I30</f>
        <v>1</v>
      </c>
      <c r="G30" t="str">
        <f>'CUMPLIMIENTO GUARDIAS'!E30</f>
        <v>C</v>
      </c>
      <c r="H30" t="str">
        <f>'CUMPLIMIENTO GUARDIAS'!F30</f>
        <v>C</v>
      </c>
      <c r="I30" t="str">
        <f>'CUMPLIMIENTO GUARDIAS'!G30</f>
        <v>C</v>
      </c>
      <c r="J30">
        <f>--(C30&lt;=MATCH('DASHBOARD AVANZADO'!$G$3,'DASHBOARD AVANZADO'!$Q$1:$Q$12,0))</f>
        <v>1</v>
      </c>
      <c r="K30">
        <f t="shared" si="0"/>
        <v>1</v>
      </c>
      <c r="L30">
        <v>30</v>
      </c>
    </row>
    <row r="31" spans="1:12" x14ac:dyDescent="0.25">
      <c r="A31" t="s">
        <v>60</v>
      </c>
      <c r="B31" t="s">
        <v>7</v>
      </c>
      <c r="C31">
        <v>2</v>
      </c>
      <c r="D31" t="s">
        <v>40</v>
      </c>
      <c r="E31" t="str">
        <f>'CUMPLIMIENTO GUARDIAS'!J31</f>
        <v>C</v>
      </c>
      <c r="F31" s="34">
        <f>'CUMPLIMIENTO GUARDIAS'!I31</f>
        <v>1</v>
      </c>
      <c r="G31" t="str">
        <f>'CUMPLIMIENTO GUARDIAS'!E31</f>
        <v>C</v>
      </c>
      <c r="H31" t="str">
        <f>'CUMPLIMIENTO GUARDIAS'!F31</f>
        <v>C</v>
      </c>
      <c r="I31" t="str">
        <f>'CUMPLIMIENTO GUARDIAS'!G31</f>
        <v>C</v>
      </c>
      <c r="J31">
        <f>--(C31&lt;=MATCH('DASHBOARD AVANZADO'!$G$3,'DASHBOARD AVANZADO'!$Q$1:$Q$12,0))</f>
        <v>1</v>
      </c>
      <c r="K31">
        <f t="shared" si="0"/>
        <v>1</v>
      </c>
      <c r="L31">
        <v>31</v>
      </c>
    </row>
    <row r="32" spans="1:12" x14ac:dyDescent="0.25">
      <c r="A32" t="s">
        <v>60</v>
      </c>
      <c r="B32" t="s">
        <v>7</v>
      </c>
      <c r="C32">
        <v>2</v>
      </c>
      <c r="D32" t="s">
        <v>20</v>
      </c>
      <c r="E32" t="str">
        <f>'CUMPLIMIENTO GUARDIAS'!J32</f>
        <v>C</v>
      </c>
      <c r="F32" s="34">
        <f>'CUMPLIMIENTO GUARDIAS'!I32</f>
        <v>1</v>
      </c>
      <c r="G32" t="str">
        <f>'CUMPLIMIENTO GUARDIAS'!E32</f>
        <v>C</v>
      </c>
      <c r="H32" t="str">
        <f>'CUMPLIMIENTO GUARDIAS'!F32</f>
        <v>C</v>
      </c>
      <c r="I32" t="str">
        <f>'CUMPLIMIENTO GUARDIAS'!G32</f>
        <v>C</v>
      </c>
      <c r="J32">
        <f>--(C32&lt;=MATCH('DASHBOARD AVANZADO'!$G$3,'DASHBOARD AVANZADO'!$Q$1:$Q$12,0))</f>
        <v>1</v>
      </c>
      <c r="K32">
        <f t="shared" si="0"/>
        <v>1</v>
      </c>
      <c r="L32">
        <v>32</v>
      </c>
    </row>
    <row r="33" spans="1:12" x14ac:dyDescent="0.25">
      <c r="A33" t="s">
        <v>60</v>
      </c>
      <c r="B33" t="s">
        <v>8</v>
      </c>
      <c r="C33">
        <v>3</v>
      </c>
      <c r="D33" t="s">
        <v>41</v>
      </c>
      <c r="E33" t="str">
        <f>'CUMPLIMIENTO GUARDIAS'!J33</f>
        <v>C</v>
      </c>
      <c r="F33" s="34">
        <f>'CUMPLIMIENTO GUARDIAS'!I33</f>
        <v>1</v>
      </c>
      <c r="G33" t="str">
        <f>'CUMPLIMIENTO GUARDIAS'!E33</f>
        <v>C</v>
      </c>
      <c r="H33" t="str">
        <f>'CUMPLIMIENTO GUARDIAS'!F33</f>
        <v>C</v>
      </c>
      <c r="I33" t="str">
        <f>'CUMPLIMIENTO GUARDIAS'!G33</f>
        <v>C</v>
      </c>
      <c r="J33">
        <f>--(C33&lt;=MATCH('DASHBOARD AVANZADO'!$G$3,'DASHBOARD AVANZADO'!$Q$1:$Q$12,0))</f>
        <v>1</v>
      </c>
      <c r="K33">
        <f t="shared" si="0"/>
        <v>1</v>
      </c>
      <c r="L33">
        <v>33</v>
      </c>
    </row>
    <row r="34" spans="1:12" x14ac:dyDescent="0.25">
      <c r="A34" t="s">
        <v>60</v>
      </c>
      <c r="B34" t="s">
        <v>8</v>
      </c>
      <c r="C34">
        <v>3</v>
      </c>
      <c r="D34" t="s">
        <v>42</v>
      </c>
      <c r="E34" t="str">
        <f>'CUMPLIMIENTO GUARDIAS'!J34</f>
        <v>C</v>
      </c>
      <c r="F34" s="34">
        <f>'CUMPLIMIENTO GUARDIAS'!I34</f>
        <v>1</v>
      </c>
      <c r="G34" t="str">
        <f>'CUMPLIMIENTO GUARDIAS'!E34</f>
        <v>C</v>
      </c>
      <c r="H34" t="str">
        <f>'CUMPLIMIENTO GUARDIAS'!F34</f>
        <v>C</v>
      </c>
      <c r="I34" t="str">
        <f>'CUMPLIMIENTO GUARDIAS'!G34</f>
        <v>C</v>
      </c>
      <c r="J34">
        <f>--(C34&lt;=MATCH('DASHBOARD AVANZADO'!$G$3,'DASHBOARD AVANZADO'!$Q$1:$Q$12,0))</f>
        <v>1</v>
      </c>
      <c r="K34">
        <f t="shared" si="0"/>
        <v>1</v>
      </c>
      <c r="L34">
        <v>34</v>
      </c>
    </row>
    <row r="35" spans="1:12" x14ac:dyDescent="0.25">
      <c r="A35" t="s">
        <v>60</v>
      </c>
      <c r="B35" t="s">
        <v>9</v>
      </c>
      <c r="C35">
        <v>4</v>
      </c>
      <c r="D35" t="s">
        <v>43</v>
      </c>
      <c r="E35" t="str">
        <f>'CUMPLIMIENTO GUARDIAS'!J35</f>
        <v>C</v>
      </c>
      <c r="F35" s="34">
        <f>'CUMPLIMIENTO GUARDIAS'!I35</f>
        <v>1</v>
      </c>
      <c r="G35" t="str">
        <f>'CUMPLIMIENTO GUARDIAS'!E35</f>
        <v>C</v>
      </c>
      <c r="H35" t="str">
        <f>'CUMPLIMIENTO GUARDIAS'!F35</f>
        <v>C</v>
      </c>
      <c r="I35" t="str">
        <f>'CUMPLIMIENTO GUARDIAS'!G35</f>
        <v>C</v>
      </c>
      <c r="J35">
        <f>--(C35&lt;=MATCH('DASHBOARD AVANZADO'!$G$3,'DASHBOARD AVANZADO'!$Q$1:$Q$12,0))</f>
        <v>1</v>
      </c>
      <c r="K35">
        <f t="shared" si="0"/>
        <v>1</v>
      </c>
      <c r="L35">
        <v>35</v>
      </c>
    </row>
    <row r="36" spans="1:12" x14ac:dyDescent="0.25">
      <c r="A36" t="s">
        <v>60</v>
      </c>
      <c r="B36" t="s">
        <v>9</v>
      </c>
      <c r="C36">
        <v>4</v>
      </c>
      <c r="D36" t="s">
        <v>44</v>
      </c>
      <c r="E36" t="str">
        <f>'CUMPLIMIENTO GUARDIAS'!J36</f>
        <v>C</v>
      </c>
      <c r="F36" s="34">
        <f>'CUMPLIMIENTO GUARDIAS'!I36</f>
        <v>1</v>
      </c>
      <c r="G36" t="str">
        <f>'CUMPLIMIENTO GUARDIAS'!E36</f>
        <v>C</v>
      </c>
      <c r="H36" t="str">
        <f>'CUMPLIMIENTO GUARDIAS'!F36</f>
        <v>C</v>
      </c>
      <c r="I36" t="str">
        <f>'CUMPLIMIENTO GUARDIAS'!G36</f>
        <v>C</v>
      </c>
      <c r="J36">
        <f>--(C36&lt;=MATCH('DASHBOARD AVANZADO'!$G$3,'DASHBOARD AVANZADO'!$Q$1:$Q$12,0))</f>
        <v>1</v>
      </c>
      <c r="K36">
        <f t="shared" si="0"/>
        <v>1</v>
      </c>
      <c r="L36">
        <v>36</v>
      </c>
    </row>
    <row r="37" spans="1:12" x14ac:dyDescent="0.25">
      <c r="A37" t="s">
        <v>60</v>
      </c>
      <c r="B37" t="s">
        <v>9</v>
      </c>
      <c r="C37">
        <v>4</v>
      </c>
      <c r="D37" t="s">
        <v>45</v>
      </c>
      <c r="E37" t="str">
        <f>'CUMPLIMIENTO GUARDIAS'!J37</f>
        <v>C</v>
      </c>
      <c r="F37" s="34">
        <f>'CUMPLIMIENTO GUARDIAS'!I37</f>
        <v>1</v>
      </c>
      <c r="G37" t="str">
        <f>'CUMPLIMIENTO GUARDIAS'!E37</f>
        <v>C</v>
      </c>
      <c r="H37" t="str">
        <f>'CUMPLIMIENTO GUARDIAS'!F37</f>
        <v>C</v>
      </c>
      <c r="I37" t="str">
        <f>'CUMPLIMIENTO GUARDIAS'!G37</f>
        <v>C</v>
      </c>
      <c r="J37">
        <f>--(C37&lt;=MATCH('DASHBOARD AVANZADO'!$G$3,'DASHBOARD AVANZADO'!$Q$1:$Q$12,0))</f>
        <v>1</v>
      </c>
      <c r="K37">
        <f t="shared" si="0"/>
        <v>1</v>
      </c>
      <c r="L37">
        <v>37</v>
      </c>
    </row>
    <row r="38" spans="1:12" x14ac:dyDescent="0.25">
      <c r="A38" t="s">
        <v>60</v>
      </c>
      <c r="B38" t="s">
        <v>10</v>
      </c>
      <c r="C38">
        <v>5</v>
      </c>
      <c r="D38" t="s">
        <v>46</v>
      </c>
      <c r="E38" t="str">
        <f>'CUMPLIMIENTO GUARDIAS'!J38</f>
        <v>C</v>
      </c>
      <c r="F38" s="34">
        <f>'CUMPLIMIENTO GUARDIAS'!I38</f>
        <v>1</v>
      </c>
      <c r="G38" t="str">
        <f>'CUMPLIMIENTO GUARDIAS'!E38</f>
        <v>C</v>
      </c>
      <c r="H38" t="str">
        <f>'CUMPLIMIENTO GUARDIAS'!F38</f>
        <v>C</v>
      </c>
      <c r="I38" t="str">
        <f>'CUMPLIMIENTO GUARDIAS'!G38</f>
        <v>C</v>
      </c>
      <c r="J38">
        <f>--(C38&lt;=MATCH('DASHBOARD AVANZADO'!$G$3,'DASHBOARD AVANZADO'!$Q$1:$Q$12,0))</f>
        <v>1</v>
      </c>
      <c r="K38">
        <f t="shared" si="0"/>
        <v>1</v>
      </c>
      <c r="L38">
        <v>38</v>
      </c>
    </row>
    <row r="39" spans="1:12" x14ac:dyDescent="0.25">
      <c r="A39" t="s">
        <v>60</v>
      </c>
      <c r="B39" t="s">
        <v>10</v>
      </c>
      <c r="C39">
        <v>5</v>
      </c>
      <c r="D39" t="s">
        <v>47</v>
      </c>
      <c r="E39" t="str">
        <f>'CUMPLIMIENTO GUARDIAS'!J39</f>
        <v>C</v>
      </c>
      <c r="F39" s="34">
        <f>'CUMPLIMIENTO GUARDIAS'!I39</f>
        <v>1</v>
      </c>
      <c r="G39" t="str">
        <f>'CUMPLIMIENTO GUARDIAS'!E39</f>
        <v>C</v>
      </c>
      <c r="H39" t="str">
        <f>'CUMPLIMIENTO GUARDIAS'!F39</f>
        <v>C</v>
      </c>
      <c r="I39" t="str">
        <f>'CUMPLIMIENTO GUARDIAS'!G39</f>
        <v>C</v>
      </c>
      <c r="J39">
        <f>--(C39&lt;=MATCH('DASHBOARD AVANZADO'!$G$3,'DASHBOARD AVANZADO'!$Q$1:$Q$12,0))</f>
        <v>1</v>
      </c>
      <c r="K39">
        <f t="shared" si="0"/>
        <v>1</v>
      </c>
      <c r="L39">
        <v>39</v>
      </c>
    </row>
    <row r="40" spans="1:12" x14ac:dyDescent="0.25">
      <c r="A40" t="s">
        <v>60</v>
      </c>
      <c r="B40" t="s">
        <v>11</v>
      </c>
      <c r="C40">
        <v>6</v>
      </c>
      <c r="D40" t="s">
        <v>20</v>
      </c>
      <c r="E40" t="str">
        <f>'CUMPLIMIENTO GUARDIAS'!J40</f>
        <v>C</v>
      </c>
      <c r="F40" s="34">
        <f>'CUMPLIMIENTO GUARDIAS'!I40</f>
        <v>1</v>
      </c>
      <c r="G40" t="str">
        <f>'CUMPLIMIENTO GUARDIAS'!E40</f>
        <v>C</v>
      </c>
      <c r="H40" t="str">
        <f>'CUMPLIMIENTO GUARDIAS'!F40</f>
        <v>C</v>
      </c>
      <c r="I40" t="str">
        <f>'CUMPLIMIENTO GUARDIAS'!G40</f>
        <v>C</v>
      </c>
      <c r="J40">
        <f>--(C40&lt;=MATCH('DASHBOARD AVANZADO'!$G$3,'DASHBOARD AVANZADO'!$Q$1:$Q$12,0))</f>
        <v>1</v>
      </c>
      <c r="K40">
        <f t="shared" si="0"/>
        <v>1</v>
      </c>
      <c r="L40">
        <v>40</v>
      </c>
    </row>
    <row r="41" spans="1:12" x14ac:dyDescent="0.25">
      <c r="A41" t="s">
        <v>60</v>
      </c>
      <c r="B41" t="s">
        <v>11</v>
      </c>
      <c r="C41">
        <v>6</v>
      </c>
      <c r="D41" t="s">
        <v>48</v>
      </c>
      <c r="E41" t="str">
        <f>'CUMPLIMIENTO GUARDIAS'!J41</f>
        <v>C</v>
      </c>
      <c r="F41" s="34">
        <f>'CUMPLIMIENTO GUARDIAS'!I41</f>
        <v>1</v>
      </c>
      <c r="G41" t="str">
        <f>'CUMPLIMIENTO GUARDIAS'!E41</f>
        <v>C</v>
      </c>
      <c r="H41" t="str">
        <f>'CUMPLIMIENTO GUARDIAS'!F41</f>
        <v>C</v>
      </c>
      <c r="I41" t="str">
        <f>'CUMPLIMIENTO GUARDIAS'!G41</f>
        <v>C</v>
      </c>
      <c r="J41">
        <f>--(C41&lt;=MATCH('DASHBOARD AVANZADO'!$G$3,'DASHBOARD AVANZADO'!$Q$1:$Q$12,0))</f>
        <v>1</v>
      </c>
      <c r="K41">
        <f t="shared" si="0"/>
        <v>1</v>
      </c>
      <c r="L41">
        <v>41</v>
      </c>
    </row>
    <row r="42" spans="1:12" x14ac:dyDescent="0.25">
      <c r="A42" t="s">
        <v>60</v>
      </c>
      <c r="B42" t="s">
        <v>11</v>
      </c>
      <c r="C42">
        <v>6</v>
      </c>
      <c r="D42" t="s">
        <v>49</v>
      </c>
      <c r="E42" t="str">
        <f>'CUMPLIMIENTO GUARDIAS'!J42</f>
        <v>F</v>
      </c>
      <c r="F42" s="34">
        <f>'CUMPLIMIENTO GUARDIAS'!I42</f>
        <v>0</v>
      </c>
      <c r="G42" t="str">
        <f>'CUMPLIMIENTO GUARDIAS'!E42</f>
        <v>F</v>
      </c>
      <c r="H42" t="str">
        <f>'CUMPLIMIENTO GUARDIAS'!F42</f>
        <v>F</v>
      </c>
      <c r="I42" t="str">
        <f>'CUMPLIMIENTO GUARDIAS'!G42</f>
        <v>F</v>
      </c>
      <c r="J42">
        <f>--(C42&lt;=MATCH('DASHBOARD AVANZADO'!$G$3,'DASHBOARD AVANZADO'!$Q$1:$Q$12,0))</f>
        <v>1</v>
      </c>
      <c r="K42">
        <f t="shared" si="0"/>
        <v>0</v>
      </c>
      <c r="L42">
        <v>42</v>
      </c>
    </row>
    <row r="43" spans="1:12" x14ac:dyDescent="0.25">
      <c r="A43" t="s">
        <v>60</v>
      </c>
      <c r="B43" t="s">
        <v>12</v>
      </c>
      <c r="C43">
        <v>7</v>
      </c>
      <c r="D43" t="s">
        <v>38</v>
      </c>
      <c r="E43" t="str">
        <f>'CUMPLIMIENTO GUARDIAS'!J43</f>
        <v>C</v>
      </c>
      <c r="F43" s="34">
        <f>'CUMPLIMIENTO GUARDIAS'!I43</f>
        <v>1</v>
      </c>
      <c r="G43" t="str">
        <f>'CUMPLIMIENTO GUARDIAS'!E43</f>
        <v>C</v>
      </c>
      <c r="H43" t="str">
        <f>'CUMPLIMIENTO GUARDIAS'!F43</f>
        <v>C</v>
      </c>
      <c r="I43" t="str">
        <f>'CUMPLIMIENTO GUARDIAS'!G43</f>
        <v>C</v>
      </c>
      <c r="J43">
        <f>--(C43&lt;=MATCH('DASHBOARD AVANZADO'!$G$3,'DASHBOARD AVANZADO'!$Q$1:$Q$12,0))</f>
        <v>1</v>
      </c>
      <c r="K43">
        <f t="shared" si="0"/>
        <v>1</v>
      </c>
      <c r="L43">
        <v>43</v>
      </c>
    </row>
    <row r="44" spans="1:12" x14ac:dyDescent="0.25">
      <c r="A44" t="s">
        <v>60</v>
      </c>
      <c r="B44" t="s">
        <v>12</v>
      </c>
      <c r="C44">
        <v>7</v>
      </c>
      <c r="D44" t="s">
        <v>87</v>
      </c>
      <c r="E44" t="str">
        <f>'CUMPLIMIENTO GUARDIAS'!J44</f>
        <v>F</v>
      </c>
      <c r="F44" s="34">
        <f>'CUMPLIMIENTO GUARDIAS'!I44</f>
        <v>0</v>
      </c>
      <c r="G44">
        <f>'CUMPLIMIENTO GUARDIAS'!E44</f>
        <v>0</v>
      </c>
      <c r="H44">
        <f>'CUMPLIMIENTO GUARDIAS'!F44</f>
        <v>0</v>
      </c>
      <c r="I44">
        <f>'CUMPLIMIENTO GUARDIAS'!G44</f>
        <v>0</v>
      </c>
      <c r="J44">
        <f>--(C44&lt;=MATCH('DASHBOARD AVANZADO'!$G$3,'DASHBOARD AVANZADO'!$Q$1:$Q$12,0))</f>
        <v>1</v>
      </c>
      <c r="K44">
        <f t="shared" si="0"/>
        <v>0</v>
      </c>
      <c r="L44">
        <v>44</v>
      </c>
    </row>
    <row r="45" spans="1:12" x14ac:dyDescent="0.25">
      <c r="A45" t="s">
        <v>60</v>
      </c>
      <c r="B45" t="s">
        <v>12</v>
      </c>
      <c r="C45">
        <v>7</v>
      </c>
      <c r="D45" t="s">
        <v>51</v>
      </c>
      <c r="E45" t="str">
        <f>'CUMPLIMIENTO GUARDIAS'!J45</f>
        <v>EP</v>
      </c>
      <c r="F45" s="34">
        <f>'CUMPLIMIENTO GUARDIAS'!I45</f>
        <v>0</v>
      </c>
      <c r="G45" t="str">
        <f>'CUMPLIMIENTO GUARDIAS'!E45</f>
        <v>EP</v>
      </c>
      <c r="H45" t="str">
        <f>'CUMPLIMIENTO GUARDIAS'!F45</f>
        <v>EP</v>
      </c>
      <c r="I45" t="str">
        <f>'CUMPLIMIENTO GUARDIAS'!G45</f>
        <v>EP</v>
      </c>
      <c r="J45">
        <f>--(C45&lt;=MATCH('DASHBOARD AVANZADO'!$G$3,'DASHBOARD AVANZADO'!$Q$1:$Q$12,0))</f>
        <v>1</v>
      </c>
      <c r="K45">
        <f t="shared" si="0"/>
        <v>0</v>
      </c>
      <c r="L45">
        <v>45</v>
      </c>
    </row>
    <row r="46" spans="1:12" x14ac:dyDescent="0.25">
      <c r="A46" t="s">
        <v>60</v>
      </c>
      <c r="B46" t="s">
        <v>13</v>
      </c>
      <c r="C46">
        <v>8</v>
      </c>
      <c r="D46" t="s">
        <v>52</v>
      </c>
      <c r="E46">
        <f>'CUMPLIMIENTO GUARDIAS'!J46</f>
        <v>0</v>
      </c>
      <c r="F46" s="34">
        <f>'CUMPLIMIENTO GUARDIAS'!I46</f>
        <v>0</v>
      </c>
      <c r="G46">
        <f>'CUMPLIMIENTO GUARDIAS'!E46</f>
        <v>0</v>
      </c>
      <c r="H46">
        <f>'CUMPLIMIENTO GUARDIAS'!F46</f>
        <v>0</v>
      </c>
      <c r="I46">
        <f>'CUMPLIMIENTO GUARDIAS'!G46</f>
        <v>0</v>
      </c>
      <c r="J46">
        <f>--(C46&lt;=MATCH('DASHBOARD AVANZADO'!$G$3,'DASHBOARD AVANZADO'!$Q$1:$Q$12,0))</f>
        <v>0</v>
      </c>
      <c r="K46">
        <f t="shared" si="0"/>
        <v>0</v>
      </c>
      <c r="L46">
        <v>46</v>
      </c>
    </row>
    <row r="47" spans="1:12" x14ac:dyDescent="0.25">
      <c r="A47" t="s">
        <v>60</v>
      </c>
      <c r="B47" t="s">
        <v>13</v>
      </c>
      <c r="C47">
        <v>8</v>
      </c>
      <c r="D47" t="s">
        <v>53</v>
      </c>
      <c r="E47">
        <f>'CUMPLIMIENTO GUARDIAS'!J47</f>
        <v>0</v>
      </c>
      <c r="F47" s="34">
        <f>'CUMPLIMIENTO GUARDIAS'!I47</f>
        <v>0</v>
      </c>
      <c r="G47">
        <f>'CUMPLIMIENTO GUARDIAS'!E47</f>
        <v>0</v>
      </c>
      <c r="H47">
        <f>'CUMPLIMIENTO GUARDIAS'!F47</f>
        <v>0</v>
      </c>
      <c r="I47">
        <f>'CUMPLIMIENTO GUARDIAS'!G47</f>
        <v>0</v>
      </c>
      <c r="J47">
        <f>--(C47&lt;=MATCH('DASHBOARD AVANZADO'!$G$3,'DASHBOARD AVANZADO'!$Q$1:$Q$12,0))</f>
        <v>0</v>
      </c>
      <c r="K47">
        <f t="shared" si="0"/>
        <v>0</v>
      </c>
      <c r="L47">
        <v>47</v>
      </c>
    </row>
    <row r="48" spans="1:12" x14ac:dyDescent="0.25">
      <c r="A48" t="s">
        <v>60</v>
      </c>
      <c r="B48" t="s">
        <v>13</v>
      </c>
      <c r="C48">
        <v>8</v>
      </c>
      <c r="D48" t="s">
        <v>54</v>
      </c>
      <c r="E48">
        <f>'CUMPLIMIENTO GUARDIAS'!J48</f>
        <v>0</v>
      </c>
      <c r="F48" s="34">
        <f>'CUMPLIMIENTO GUARDIAS'!I48</f>
        <v>0</v>
      </c>
      <c r="G48">
        <f>'CUMPLIMIENTO GUARDIAS'!E48</f>
        <v>0</v>
      </c>
      <c r="H48">
        <f>'CUMPLIMIENTO GUARDIAS'!F48</f>
        <v>0</v>
      </c>
      <c r="I48">
        <f>'CUMPLIMIENTO GUARDIAS'!G48</f>
        <v>0</v>
      </c>
      <c r="J48">
        <f>--(C48&lt;=MATCH('DASHBOARD AVANZADO'!$G$3,'DASHBOARD AVANZADO'!$Q$1:$Q$12,0))</f>
        <v>0</v>
      </c>
      <c r="K48">
        <f t="shared" si="0"/>
        <v>0</v>
      </c>
      <c r="L48">
        <v>48</v>
      </c>
    </row>
    <row r="49" spans="1:12" x14ac:dyDescent="0.25">
      <c r="A49" t="s">
        <v>60</v>
      </c>
      <c r="B49" t="s">
        <v>14</v>
      </c>
      <c r="C49">
        <v>9</v>
      </c>
      <c r="D49" t="s">
        <v>55</v>
      </c>
      <c r="E49">
        <f>'CUMPLIMIENTO GUARDIAS'!J49</f>
        <v>0</v>
      </c>
      <c r="F49" s="34">
        <f>'CUMPLIMIENTO GUARDIAS'!I49</f>
        <v>0</v>
      </c>
      <c r="G49">
        <f>'CUMPLIMIENTO GUARDIAS'!E49</f>
        <v>0</v>
      </c>
      <c r="H49">
        <f>'CUMPLIMIENTO GUARDIAS'!F49</f>
        <v>0</v>
      </c>
      <c r="I49">
        <f>'CUMPLIMIENTO GUARDIAS'!G49</f>
        <v>0</v>
      </c>
      <c r="J49">
        <f>--(C49&lt;=MATCH('DASHBOARD AVANZADO'!$G$3,'DASHBOARD AVANZADO'!$Q$1:$Q$12,0))</f>
        <v>0</v>
      </c>
      <c r="K49">
        <f t="shared" si="0"/>
        <v>0</v>
      </c>
      <c r="L49">
        <v>49</v>
      </c>
    </row>
    <row r="50" spans="1:12" x14ac:dyDescent="0.25">
      <c r="A50" t="s">
        <v>60</v>
      </c>
      <c r="B50" t="s">
        <v>14</v>
      </c>
      <c r="C50">
        <v>9</v>
      </c>
      <c r="D50" t="s">
        <v>56</v>
      </c>
      <c r="E50">
        <f>'CUMPLIMIENTO GUARDIAS'!J50</f>
        <v>0</v>
      </c>
      <c r="F50" s="34">
        <f>'CUMPLIMIENTO GUARDIAS'!I50</f>
        <v>0</v>
      </c>
      <c r="G50">
        <f>'CUMPLIMIENTO GUARDIAS'!E50</f>
        <v>0</v>
      </c>
      <c r="H50">
        <f>'CUMPLIMIENTO GUARDIAS'!F50</f>
        <v>0</v>
      </c>
      <c r="I50">
        <f>'CUMPLIMIENTO GUARDIAS'!G50</f>
        <v>0</v>
      </c>
      <c r="J50">
        <f>--(C50&lt;=MATCH('DASHBOARD AVANZADO'!$G$3,'DASHBOARD AVANZADO'!$Q$1:$Q$12,0))</f>
        <v>0</v>
      </c>
      <c r="K50">
        <f t="shared" si="0"/>
        <v>0</v>
      </c>
      <c r="L50">
        <v>50</v>
      </c>
    </row>
    <row r="51" spans="1:12" x14ac:dyDescent="0.25">
      <c r="A51" t="s">
        <v>60</v>
      </c>
      <c r="B51" t="s">
        <v>15</v>
      </c>
      <c r="C51">
        <v>10</v>
      </c>
      <c r="D51" t="s">
        <v>20</v>
      </c>
      <c r="E51">
        <f>'CUMPLIMIENTO GUARDIAS'!J51</f>
        <v>0</v>
      </c>
      <c r="F51" s="34">
        <f>'CUMPLIMIENTO GUARDIAS'!I51</f>
        <v>0</v>
      </c>
      <c r="G51">
        <f>'CUMPLIMIENTO GUARDIAS'!E51</f>
        <v>0</v>
      </c>
      <c r="H51">
        <f>'CUMPLIMIENTO GUARDIAS'!F51</f>
        <v>0</v>
      </c>
      <c r="I51">
        <f>'CUMPLIMIENTO GUARDIAS'!G51</f>
        <v>0</v>
      </c>
      <c r="J51">
        <f>--(C51&lt;=MATCH('DASHBOARD AVANZADO'!$G$3,'DASHBOARD AVANZADO'!$Q$1:$Q$12,0))</f>
        <v>0</v>
      </c>
      <c r="K51">
        <f t="shared" si="0"/>
        <v>0</v>
      </c>
      <c r="L51">
        <v>51</v>
      </c>
    </row>
    <row r="52" spans="1:12" x14ac:dyDescent="0.25">
      <c r="A52" t="s">
        <v>60</v>
      </c>
      <c r="B52" t="s">
        <v>15</v>
      </c>
      <c r="C52">
        <v>10</v>
      </c>
      <c r="D52" t="s">
        <v>42</v>
      </c>
      <c r="E52">
        <f>'CUMPLIMIENTO GUARDIAS'!J52</f>
        <v>0</v>
      </c>
      <c r="F52" s="34">
        <f>'CUMPLIMIENTO GUARDIAS'!I52</f>
        <v>0</v>
      </c>
      <c r="G52">
        <f>'CUMPLIMIENTO GUARDIAS'!E52</f>
        <v>0</v>
      </c>
      <c r="H52">
        <f>'CUMPLIMIENTO GUARDIAS'!F52</f>
        <v>0</v>
      </c>
      <c r="I52">
        <f>'CUMPLIMIENTO GUARDIAS'!G52</f>
        <v>0</v>
      </c>
      <c r="J52">
        <f>--(C52&lt;=MATCH('DASHBOARD AVANZADO'!$G$3,'DASHBOARD AVANZADO'!$Q$1:$Q$12,0))</f>
        <v>0</v>
      </c>
      <c r="K52">
        <f t="shared" si="0"/>
        <v>0</v>
      </c>
      <c r="L52">
        <v>52</v>
      </c>
    </row>
    <row r="53" spans="1:12" x14ac:dyDescent="0.25">
      <c r="A53" t="s">
        <v>60</v>
      </c>
      <c r="B53" t="s">
        <v>16</v>
      </c>
      <c r="C53">
        <v>11</v>
      </c>
      <c r="D53" t="s">
        <v>57</v>
      </c>
      <c r="E53">
        <f>'CUMPLIMIENTO GUARDIAS'!J53</f>
        <v>0</v>
      </c>
      <c r="F53" s="34">
        <f>'CUMPLIMIENTO GUARDIAS'!I53</f>
        <v>0</v>
      </c>
      <c r="G53">
        <f>'CUMPLIMIENTO GUARDIAS'!E53</f>
        <v>0</v>
      </c>
      <c r="H53">
        <f>'CUMPLIMIENTO GUARDIAS'!F53</f>
        <v>0</v>
      </c>
      <c r="I53">
        <f>'CUMPLIMIENTO GUARDIAS'!G53</f>
        <v>0</v>
      </c>
      <c r="J53">
        <f>--(C53&lt;=MATCH('DASHBOARD AVANZADO'!$G$3,'DASHBOARD AVANZADO'!$Q$1:$Q$12,0))</f>
        <v>0</v>
      </c>
      <c r="K53">
        <f t="shared" si="0"/>
        <v>0</v>
      </c>
      <c r="L53">
        <v>53</v>
      </c>
    </row>
    <row r="54" spans="1:12" x14ac:dyDescent="0.25">
      <c r="A54" t="s">
        <v>60</v>
      </c>
      <c r="B54" t="s">
        <v>16</v>
      </c>
      <c r="C54">
        <v>11</v>
      </c>
      <c r="D54" t="s">
        <v>39</v>
      </c>
      <c r="E54">
        <f>'CUMPLIMIENTO GUARDIAS'!J54</f>
        <v>0</v>
      </c>
      <c r="F54" s="34">
        <f>'CUMPLIMIENTO GUARDIAS'!I54</f>
        <v>0</v>
      </c>
      <c r="G54">
        <f>'CUMPLIMIENTO GUARDIAS'!E54</f>
        <v>0</v>
      </c>
      <c r="H54">
        <f>'CUMPLIMIENTO GUARDIAS'!F54</f>
        <v>0</v>
      </c>
      <c r="I54">
        <f>'CUMPLIMIENTO GUARDIAS'!G54</f>
        <v>0</v>
      </c>
      <c r="J54">
        <f>--(C54&lt;=MATCH('DASHBOARD AVANZADO'!$G$3,'DASHBOARD AVANZADO'!$Q$1:$Q$12,0))</f>
        <v>0</v>
      </c>
      <c r="K54">
        <f t="shared" si="0"/>
        <v>0</v>
      </c>
      <c r="L54">
        <v>54</v>
      </c>
    </row>
    <row r="55" spans="1:12" x14ac:dyDescent="0.25">
      <c r="A55" t="s">
        <v>60</v>
      </c>
      <c r="B55" t="s">
        <v>17</v>
      </c>
      <c r="C55">
        <v>12</v>
      </c>
      <c r="D55" t="s">
        <v>38</v>
      </c>
      <c r="E55">
        <f>'CUMPLIMIENTO GUARDIAS'!J55</f>
        <v>0</v>
      </c>
      <c r="F55" s="34">
        <f>'CUMPLIMIENTO GUARDIAS'!I55</f>
        <v>0</v>
      </c>
      <c r="G55">
        <f>'CUMPLIMIENTO GUARDIAS'!E55</f>
        <v>0</v>
      </c>
      <c r="H55">
        <f>'CUMPLIMIENTO GUARDIAS'!F55</f>
        <v>0</v>
      </c>
      <c r="I55">
        <f>'CUMPLIMIENTO GUARDIAS'!G55</f>
        <v>0</v>
      </c>
      <c r="J55">
        <f>--(C55&lt;=MATCH('DASHBOARD AVANZADO'!$G$3,'DASHBOARD AVANZADO'!$Q$1:$Q$12,0))</f>
        <v>0</v>
      </c>
      <c r="K55">
        <f t="shared" si="0"/>
        <v>0</v>
      </c>
      <c r="L55">
        <v>55</v>
      </c>
    </row>
    <row r="56" spans="1:12" x14ac:dyDescent="0.25">
      <c r="A56" t="s">
        <v>61</v>
      </c>
      <c r="B56" t="s">
        <v>6</v>
      </c>
      <c r="C56">
        <v>1</v>
      </c>
      <c r="D56" t="s">
        <v>38</v>
      </c>
      <c r="E56" t="str">
        <f>'CUMPLIMIENTO GUARDIAS'!J56</f>
        <v>C</v>
      </c>
      <c r="F56" s="34">
        <f>'CUMPLIMIENTO GUARDIAS'!I56</f>
        <v>1</v>
      </c>
      <c r="G56" t="str">
        <f>'CUMPLIMIENTO GUARDIAS'!E56</f>
        <v>C</v>
      </c>
      <c r="H56" t="str">
        <f>'CUMPLIMIENTO GUARDIAS'!F56</f>
        <v>C</v>
      </c>
      <c r="I56" t="str">
        <f>'CUMPLIMIENTO GUARDIAS'!G56</f>
        <v>C</v>
      </c>
      <c r="J56">
        <f>--(C56&lt;=MATCH('DASHBOARD AVANZADO'!$G$3,'DASHBOARD AVANZADO'!$Q$1:$Q$12,0))</f>
        <v>1</v>
      </c>
      <c r="K56">
        <f t="shared" si="0"/>
        <v>1</v>
      </c>
      <c r="L56">
        <v>56</v>
      </c>
    </row>
    <row r="57" spans="1:12" x14ac:dyDescent="0.25">
      <c r="A57" t="s">
        <v>61</v>
      </c>
      <c r="B57" t="s">
        <v>6</v>
      </c>
      <c r="C57">
        <v>1</v>
      </c>
      <c r="D57" t="s">
        <v>39</v>
      </c>
      <c r="E57" t="str">
        <f>'CUMPLIMIENTO GUARDIAS'!J57</f>
        <v>C</v>
      </c>
      <c r="F57" s="34">
        <f>'CUMPLIMIENTO GUARDIAS'!I57</f>
        <v>1</v>
      </c>
      <c r="G57" t="str">
        <f>'CUMPLIMIENTO GUARDIAS'!E57</f>
        <v>C</v>
      </c>
      <c r="H57" t="str">
        <f>'CUMPLIMIENTO GUARDIAS'!F57</f>
        <v>C</v>
      </c>
      <c r="I57" t="str">
        <f>'CUMPLIMIENTO GUARDIAS'!G57</f>
        <v>C</v>
      </c>
      <c r="J57">
        <f>--(C57&lt;=MATCH('DASHBOARD AVANZADO'!$G$3,'DASHBOARD AVANZADO'!$Q$1:$Q$12,0))</f>
        <v>1</v>
      </c>
      <c r="K57">
        <f t="shared" si="0"/>
        <v>1</v>
      </c>
      <c r="L57">
        <v>57</v>
      </c>
    </row>
    <row r="58" spans="1:12" x14ac:dyDescent="0.25">
      <c r="A58" t="s">
        <v>61</v>
      </c>
      <c r="B58" t="s">
        <v>7</v>
      </c>
      <c r="C58">
        <v>2</v>
      </c>
      <c r="D58" t="s">
        <v>40</v>
      </c>
      <c r="E58" t="str">
        <f>'CUMPLIMIENTO GUARDIAS'!J58</f>
        <v>C</v>
      </c>
      <c r="F58" s="34">
        <f>'CUMPLIMIENTO GUARDIAS'!I58</f>
        <v>1</v>
      </c>
      <c r="G58" t="str">
        <f>'CUMPLIMIENTO GUARDIAS'!E58</f>
        <v>C</v>
      </c>
      <c r="H58" t="str">
        <f>'CUMPLIMIENTO GUARDIAS'!F58</f>
        <v>C</v>
      </c>
      <c r="I58" t="str">
        <f>'CUMPLIMIENTO GUARDIAS'!G58</f>
        <v>C</v>
      </c>
      <c r="J58">
        <f>--(C58&lt;=MATCH('DASHBOARD AVANZADO'!$G$3,'DASHBOARD AVANZADO'!$Q$1:$Q$12,0))</f>
        <v>1</v>
      </c>
      <c r="K58">
        <f t="shared" si="0"/>
        <v>1</v>
      </c>
      <c r="L58">
        <v>58</v>
      </c>
    </row>
    <row r="59" spans="1:12" x14ac:dyDescent="0.25">
      <c r="A59" t="s">
        <v>61</v>
      </c>
      <c r="B59" t="s">
        <v>7</v>
      </c>
      <c r="C59">
        <v>2</v>
      </c>
      <c r="D59" t="s">
        <v>20</v>
      </c>
      <c r="E59" t="str">
        <f>'CUMPLIMIENTO GUARDIAS'!J59</f>
        <v>C</v>
      </c>
      <c r="F59" s="34">
        <f>'CUMPLIMIENTO GUARDIAS'!I59</f>
        <v>1</v>
      </c>
      <c r="G59" t="str">
        <f>'CUMPLIMIENTO GUARDIAS'!E59</f>
        <v>C</v>
      </c>
      <c r="H59" t="str">
        <f>'CUMPLIMIENTO GUARDIAS'!F59</f>
        <v>C</v>
      </c>
      <c r="I59" t="str">
        <f>'CUMPLIMIENTO GUARDIAS'!G59</f>
        <v>C</v>
      </c>
      <c r="J59">
        <f>--(C59&lt;=MATCH('DASHBOARD AVANZADO'!$G$3,'DASHBOARD AVANZADO'!$Q$1:$Q$12,0))</f>
        <v>1</v>
      </c>
      <c r="K59">
        <f t="shared" si="0"/>
        <v>1</v>
      </c>
      <c r="L59">
        <v>59</v>
      </c>
    </row>
    <row r="60" spans="1:12" x14ac:dyDescent="0.25">
      <c r="A60" t="s">
        <v>61</v>
      </c>
      <c r="B60" t="s">
        <v>8</v>
      </c>
      <c r="C60">
        <v>3</v>
      </c>
      <c r="D60" t="s">
        <v>41</v>
      </c>
      <c r="E60" t="str">
        <f>'CUMPLIMIENTO GUARDIAS'!J60</f>
        <v>C</v>
      </c>
      <c r="F60" s="34">
        <f>'CUMPLIMIENTO GUARDIAS'!I60</f>
        <v>1</v>
      </c>
      <c r="G60" t="str">
        <f>'CUMPLIMIENTO GUARDIAS'!E60</f>
        <v>C</v>
      </c>
      <c r="H60" t="str">
        <f>'CUMPLIMIENTO GUARDIAS'!F60</f>
        <v>C</v>
      </c>
      <c r="I60" t="str">
        <f>'CUMPLIMIENTO GUARDIAS'!G60</f>
        <v>C</v>
      </c>
      <c r="J60">
        <f>--(C60&lt;=MATCH('DASHBOARD AVANZADO'!$G$3,'DASHBOARD AVANZADO'!$Q$1:$Q$12,0))</f>
        <v>1</v>
      </c>
      <c r="K60">
        <f t="shared" si="0"/>
        <v>1</v>
      </c>
      <c r="L60">
        <v>60</v>
      </c>
    </row>
    <row r="61" spans="1:12" x14ac:dyDescent="0.25">
      <c r="A61" t="s">
        <v>61</v>
      </c>
      <c r="B61" t="s">
        <v>8</v>
      </c>
      <c r="C61">
        <v>3</v>
      </c>
      <c r="D61" t="s">
        <v>42</v>
      </c>
      <c r="E61" t="str">
        <f>'CUMPLIMIENTO GUARDIAS'!J61</f>
        <v>C</v>
      </c>
      <c r="F61" s="34">
        <f>'CUMPLIMIENTO GUARDIAS'!I61</f>
        <v>1</v>
      </c>
      <c r="G61" t="str">
        <f>'CUMPLIMIENTO GUARDIAS'!E61</f>
        <v>C</v>
      </c>
      <c r="H61" t="str">
        <f>'CUMPLIMIENTO GUARDIAS'!F61</f>
        <v>C</v>
      </c>
      <c r="I61" t="str">
        <f>'CUMPLIMIENTO GUARDIAS'!G61</f>
        <v>C</v>
      </c>
      <c r="J61">
        <f>--(C61&lt;=MATCH('DASHBOARD AVANZADO'!$G$3,'DASHBOARD AVANZADO'!$Q$1:$Q$12,0))</f>
        <v>1</v>
      </c>
      <c r="K61">
        <f t="shared" si="0"/>
        <v>1</v>
      </c>
      <c r="L61">
        <v>61</v>
      </c>
    </row>
    <row r="62" spans="1:12" x14ac:dyDescent="0.25">
      <c r="A62" t="s">
        <v>61</v>
      </c>
      <c r="B62" t="s">
        <v>9</v>
      </c>
      <c r="C62">
        <v>4</v>
      </c>
      <c r="D62" t="s">
        <v>43</v>
      </c>
      <c r="E62" t="str">
        <f>'CUMPLIMIENTO GUARDIAS'!J62</f>
        <v>C</v>
      </c>
      <c r="F62" s="34">
        <f>'CUMPLIMIENTO GUARDIAS'!I62</f>
        <v>1</v>
      </c>
      <c r="G62" t="str">
        <f>'CUMPLIMIENTO GUARDIAS'!E62</f>
        <v>C</v>
      </c>
      <c r="H62" t="str">
        <f>'CUMPLIMIENTO GUARDIAS'!F62</f>
        <v>C</v>
      </c>
      <c r="I62" t="str">
        <f>'CUMPLIMIENTO GUARDIAS'!G62</f>
        <v>C</v>
      </c>
      <c r="J62">
        <f>--(C62&lt;=MATCH('DASHBOARD AVANZADO'!$G$3,'DASHBOARD AVANZADO'!$Q$1:$Q$12,0))</f>
        <v>1</v>
      </c>
      <c r="K62">
        <f t="shared" si="0"/>
        <v>1</v>
      </c>
      <c r="L62">
        <v>62</v>
      </c>
    </row>
    <row r="63" spans="1:12" x14ac:dyDescent="0.25">
      <c r="A63" t="s">
        <v>61</v>
      </c>
      <c r="B63" t="s">
        <v>9</v>
      </c>
      <c r="C63">
        <v>4</v>
      </c>
      <c r="D63" t="s">
        <v>44</v>
      </c>
      <c r="E63" t="str">
        <f>'CUMPLIMIENTO GUARDIAS'!J63</f>
        <v>C</v>
      </c>
      <c r="F63" s="34">
        <f>'CUMPLIMIENTO GUARDIAS'!I63</f>
        <v>1</v>
      </c>
      <c r="G63" t="str">
        <f>'CUMPLIMIENTO GUARDIAS'!E63</f>
        <v>C</v>
      </c>
      <c r="H63" t="str">
        <f>'CUMPLIMIENTO GUARDIAS'!F63</f>
        <v>C</v>
      </c>
      <c r="I63" t="str">
        <f>'CUMPLIMIENTO GUARDIAS'!G63</f>
        <v>C</v>
      </c>
      <c r="J63">
        <f>--(C63&lt;=MATCH('DASHBOARD AVANZADO'!$G$3,'DASHBOARD AVANZADO'!$Q$1:$Q$12,0))</f>
        <v>1</v>
      </c>
      <c r="K63">
        <f t="shared" si="0"/>
        <v>1</v>
      </c>
      <c r="L63">
        <v>63</v>
      </c>
    </row>
    <row r="64" spans="1:12" x14ac:dyDescent="0.25">
      <c r="A64" t="s">
        <v>61</v>
      </c>
      <c r="B64" t="s">
        <v>9</v>
      </c>
      <c r="C64">
        <v>4</v>
      </c>
      <c r="D64" t="s">
        <v>45</v>
      </c>
      <c r="E64" t="str">
        <f>'CUMPLIMIENTO GUARDIAS'!J64</f>
        <v>C</v>
      </c>
      <c r="F64" s="34">
        <f>'CUMPLIMIENTO GUARDIAS'!I64</f>
        <v>1</v>
      </c>
      <c r="G64" t="str">
        <f>'CUMPLIMIENTO GUARDIAS'!E64</f>
        <v>C</v>
      </c>
      <c r="H64" t="str">
        <f>'CUMPLIMIENTO GUARDIAS'!F64</f>
        <v>C</v>
      </c>
      <c r="I64" t="str">
        <f>'CUMPLIMIENTO GUARDIAS'!G64</f>
        <v>C</v>
      </c>
      <c r="J64">
        <f>--(C64&lt;=MATCH('DASHBOARD AVANZADO'!$G$3,'DASHBOARD AVANZADO'!$Q$1:$Q$12,0))</f>
        <v>1</v>
      </c>
      <c r="K64">
        <f t="shared" si="0"/>
        <v>1</v>
      </c>
      <c r="L64">
        <v>64</v>
      </c>
    </row>
    <row r="65" spans="1:12" x14ac:dyDescent="0.25">
      <c r="A65" t="s">
        <v>61</v>
      </c>
      <c r="B65" t="s">
        <v>10</v>
      </c>
      <c r="C65">
        <v>5</v>
      </c>
      <c r="D65" t="s">
        <v>46</v>
      </c>
      <c r="E65" t="str">
        <f>'CUMPLIMIENTO GUARDIAS'!J65</f>
        <v>C</v>
      </c>
      <c r="F65" s="34">
        <f>'CUMPLIMIENTO GUARDIAS'!I65</f>
        <v>1</v>
      </c>
      <c r="G65" t="str">
        <f>'CUMPLIMIENTO GUARDIAS'!E65</f>
        <v>C</v>
      </c>
      <c r="H65" t="str">
        <f>'CUMPLIMIENTO GUARDIAS'!F65</f>
        <v>C</v>
      </c>
      <c r="I65" t="str">
        <f>'CUMPLIMIENTO GUARDIAS'!G65</f>
        <v>C</v>
      </c>
      <c r="J65">
        <f>--(C65&lt;=MATCH('DASHBOARD AVANZADO'!$G$3,'DASHBOARD AVANZADO'!$Q$1:$Q$12,0))</f>
        <v>1</v>
      </c>
      <c r="K65">
        <f t="shared" si="0"/>
        <v>1</v>
      </c>
      <c r="L65">
        <v>65</v>
      </c>
    </row>
    <row r="66" spans="1:12" x14ac:dyDescent="0.25">
      <c r="A66" t="s">
        <v>61</v>
      </c>
      <c r="B66" t="s">
        <v>10</v>
      </c>
      <c r="C66">
        <v>5</v>
      </c>
      <c r="D66" t="s">
        <v>47</v>
      </c>
      <c r="E66" t="str">
        <f>'CUMPLIMIENTO GUARDIAS'!J66</f>
        <v>C</v>
      </c>
      <c r="F66" s="34">
        <f>'CUMPLIMIENTO GUARDIAS'!I66</f>
        <v>1</v>
      </c>
      <c r="G66" t="str">
        <f>'CUMPLIMIENTO GUARDIAS'!E66</f>
        <v>C</v>
      </c>
      <c r="H66" t="str">
        <f>'CUMPLIMIENTO GUARDIAS'!F66</f>
        <v>C</v>
      </c>
      <c r="I66" t="str">
        <f>'CUMPLIMIENTO GUARDIAS'!G66</f>
        <v>C</v>
      </c>
      <c r="J66">
        <f>--(C66&lt;=MATCH('DASHBOARD AVANZADO'!$G$3,'DASHBOARD AVANZADO'!$Q$1:$Q$12,0))</f>
        <v>1</v>
      </c>
      <c r="K66">
        <f t="shared" ref="K66:K129" si="1">IF(E66="C",1,0)</f>
        <v>1</v>
      </c>
      <c r="L66">
        <v>66</v>
      </c>
    </row>
    <row r="67" spans="1:12" x14ac:dyDescent="0.25">
      <c r="A67" t="s">
        <v>61</v>
      </c>
      <c r="B67" t="s">
        <v>11</v>
      </c>
      <c r="C67">
        <v>6</v>
      </c>
      <c r="D67" t="s">
        <v>20</v>
      </c>
      <c r="E67" t="str">
        <f>'CUMPLIMIENTO GUARDIAS'!J67</f>
        <v>C</v>
      </c>
      <c r="F67" s="34">
        <f>'CUMPLIMIENTO GUARDIAS'!I67</f>
        <v>1</v>
      </c>
      <c r="G67" t="str">
        <f>'CUMPLIMIENTO GUARDIAS'!E67</f>
        <v>C</v>
      </c>
      <c r="H67" t="str">
        <f>'CUMPLIMIENTO GUARDIAS'!F67</f>
        <v>C</v>
      </c>
      <c r="I67" t="str">
        <f>'CUMPLIMIENTO GUARDIAS'!G67</f>
        <v>C</v>
      </c>
      <c r="J67">
        <f>--(C67&lt;=MATCH('DASHBOARD AVANZADO'!$G$3,'DASHBOARD AVANZADO'!$Q$1:$Q$12,0))</f>
        <v>1</v>
      </c>
      <c r="K67">
        <f t="shared" si="1"/>
        <v>1</v>
      </c>
      <c r="L67">
        <v>67</v>
      </c>
    </row>
    <row r="68" spans="1:12" x14ac:dyDescent="0.25">
      <c r="A68" t="s">
        <v>61</v>
      </c>
      <c r="B68" t="s">
        <v>11</v>
      </c>
      <c r="C68">
        <v>6</v>
      </c>
      <c r="D68" t="s">
        <v>48</v>
      </c>
      <c r="E68" t="str">
        <f>'CUMPLIMIENTO GUARDIAS'!J68</f>
        <v>C</v>
      </c>
      <c r="F68" s="34">
        <f>'CUMPLIMIENTO GUARDIAS'!I68</f>
        <v>1</v>
      </c>
      <c r="G68" t="str">
        <f>'CUMPLIMIENTO GUARDIAS'!E68</f>
        <v>C</v>
      </c>
      <c r="H68" t="str">
        <f>'CUMPLIMIENTO GUARDIAS'!F68</f>
        <v>C</v>
      </c>
      <c r="I68" t="str">
        <f>'CUMPLIMIENTO GUARDIAS'!G68</f>
        <v>C</v>
      </c>
      <c r="J68">
        <f>--(C68&lt;=MATCH('DASHBOARD AVANZADO'!$G$3,'DASHBOARD AVANZADO'!$Q$1:$Q$12,0))</f>
        <v>1</v>
      </c>
      <c r="K68">
        <f t="shared" si="1"/>
        <v>1</v>
      </c>
      <c r="L68">
        <v>68</v>
      </c>
    </row>
    <row r="69" spans="1:12" x14ac:dyDescent="0.25">
      <c r="A69" t="s">
        <v>61</v>
      </c>
      <c r="B69" t="s">
        <v>11</v>
      </c>
      <c r="C69">
        <v>6</v>
      </c>
      <c r="D69" t="s">
        <v>49</v>
      </c>
      <c r="E69" t="str">
        <f>'CUMPLIMIENTO GUARDIAS'!J69</f>
        <v>F</v>
      </c>
      <c r="F69" s="34">
        <f>'CUMPLIMIENTO GUARDIAS'!I69</f>
        <v>0</v>
      </c>
      <c r="G69" t="str">
        <f>'CUMPLIMIENTO GUARDIAS'!E69</f>
        <v>F</v>
      </c>
      <c r="H69" t="str">
        <f>'CUMPLIMIENTO GUARDIAS'!F69</f>
        <v>F</v>
      </c>
      <c r="I69" t="str">
        <f>'CUMPLIMIENTO GUARDIAS'!G69</f>
        <v>F</v>
      </c>
      <c r="J69">
        <f>--(C69&lt;=MATCH('DASHBOARD AVANZADO'!$G$3,'DASHBOARD AVANZADO'!$Q$1:$Q$12,0))</f>
        <v>1</v>
      </c>
      <c r="K69">
        <f t="shared" si="1"/>
        <v>0</v>
      </c>
      <c r="L69">
        <v>69</v>
      </c>
    </row>
    <row r="70" spans="1:12" x14ac:dyDescent="0.25">
      <c r="A70" t="s">
        <v>61</v>
      </c>
      <c r="B70" t="s">
        <v>12</v>
      </c>
      <c r="C70">
        <v>7</v>
      </c>
      <c r="D70" t="s">
        <v>38</v>
      </c>
      <c r="E70" t="str">
        <f>'CUMPLIMIENTO GUARDIAS'!J70</f>
        <v>C</v>
      </c>
      <c r="F70" s="34">
        <f>'CUMPLIMIENTO GUARDIAS'!I70</f>
        <v>1</v>
      </c>
      <c r="G70" t="str">
        <f>'CUMPLIMIENTO GUARDIAS'!E70</f>
        <v>C</v>
      </c>
      <c r="H70" t="str">
        <f>'CUMPLIMIENTO GUARDIAS'!F70</f>
        <v>C</v>
      </c>
      <c r="I70" t="str">
        <f>'CUMPLIMIENTO GUARDIAS'!G70</f>
        <v>C</v>
      </c>
      <c r="J70">
        <f>--(C70&lt;=MATCH('DASHBOARD AVANZADO'!$G$3,'DASHBOARD AVANZADO'!$Q$1:$Q$12,0))</f>
        <v>1</v>
      </c>
      <c r="K70">
        <f t="shared" si="1"/>
        <v>1</v>
      </c>
      <c r="L70">
        <v>70</v>
      </c>
    </row>
    <row r="71" spans="1:12" x14ac:dyDescent="0.25">
      <c r="A71" t="s">
        <v>61</v>
      </c>
      <c r="B71" t="s">
        <v>12</v>
      </c>
      <c r="C71">
        <v>7</v>
      </c>
      <c r="D71" t="s">
        <v>87</v>
      </c>
      <c r="E71" t="str">
        <f>'CUMPLIMIENTO GUARDIAS'!J71</f>
        <v>F</v>
      </c>
      <c r="F71" s="34">
        <f>'CUMPLIMIENTO GUARDIAS'!I71</f>
        <v>0</v>
      </c>
      <c r="G71">
        <f>'CUMPLIMIENTO GUARDIAS'!E71</f>
        <v>0</v>
      </c>
      <c r="H71">
        <f>'CUMPLIMIENTO GUARDIAS'!F71</f>
        <v>0</v>
      </c>
      <c r="I71">
        <f>'CUMPLIMIENTO GUARDIAS'!G71</f>
        <v>0</v>
      </c>
      <c r="J71">
        <f>--(C71&lt;=MATCH('DASHBOARD AVANZADO'!$G$3,'DASHBOARD AVANZADO'!$Q$1:$Q$12,0))</f>
        <v>1</v>
      </c>
      <c r="K71">
        <f t="shared" si="1"/>
        <v>0</v>
      </c>
      <c r="L71">
        <v>71</v>
      </c>
    </row>
    <row r="72" spans="1:12" x14ac:dyDescent="0.25">
      <c r="A72" t="s">
        <v>61</v>
      </c>
      <c r="B72" t="s">
        <v>12</v>
      </c>
      <c r="C72">
        <v>7</v>
      </c>
      <c r="D72" t="s">
        <v>51</v>
      </c>
      <c r="E72" t="str">
        <f>'CUMPLIMIENTO GUARDIAS'!J72</f>
        <v>EP</v>
      </c>
      <c r="F72" s="34">
        <f>'CUMPLIMIENTO GUARDIAS'!I72</f>
        <v>0</v>
      </c>
      <c r="G72" t="str">
        <f>'CUMPLIMIENTO GUARDIAS'!E72</f>
        <v>EP</v>
      </c>
      <c r="H72" t="str">
        <f>'CUMPLIMIENTO GUARDIAS'!F72</f>
        <v>EP</v>
      </c>
      <c r="I72" t="str">
        <f>'CUMPLIMIENTO GUARDIAS'!G72</f>
        <v>EP</v>
      </c>
      <c r="J72">
        <f>--(C72&lt;=MATCH('DASHBOARD AVANZADO'!$G$3,'DASHBOARD AVANZADO'!$Q$1:$Q$12,0))</f>
        <v>1</v>
      </c>
      <c r="K72">
        <f t="shared" si="1"/>
        <v>0</v>
      </c>
      <c r="L72">
        <v>72</v>
      </c>
    </row>
    <row r="73" spans="1:12" x14ac:dyDescent="0.25">
      <c r="A73" t="s">
        <v>61</v>
      </c>
      <c r="B73" t="s">
        <v>13</v>
      </c>
      <c r="C73">
        <v>8</v>
      </c>
      <c r="D73" t="s">
        <v>52</v>
      </c>
      <c r="E73">
        <f>'CUMPLIMIENTO GUARDIAS'!J73</f>
        <v>0</v>
      </c>
      <c r="F73" s="34">
        <f>'CUMPLIMIENTO GUARDIAS'!I73</f>
        <v>0</v>
      </c>
      <c r="G73">
        <f>'CUMPLIMIENTO GUARDIAS'!E73</f>
        <v>0</v>
      </c>
      <c r="H73">
        <f>'CUMPLIMIENTO GUARDIAS'!F73</f>
        <v>0</v>
      </c>
      <c r="I73">
        <f>'CUMPLIMIENTO GUARDIAS'!G73</f>
        <v>0</v>
      </c>
      <c r="J73">
        <f>--(C73&lt;=MATCH('DASHBOARD AVANZADO'!$G$3,'DASHBOARD AVANZADO'!$Q$1:$Q$12,0))</f>
        <v>0</v>
      </c>
      <c r="K73">
        <f t="shared" si="1"/>
        <v>0</v>
      </c>
      <c r="L73">
        <v>73</v>
      </c>
    </row>
    <row r="74" spans="1:12" x14ac:dyDescent="0.25">
      <c r="A74" t="s">
        <v>61</v>
      </c>
      <c r="B74" t="s">
        <v>13</v>
      </c>
      <c r="C74">
        <v>8</v>
      </c>
      <c r="D74" t="s">
        <v>53</v>
      </c>
      <c r="E74">
        <f>'CUMPLIMIENTO GUARDIAS'!J74</f>
        <v>0</v>
      </c>
      <c r="F74" s="34">
        <f>'CUMPLIMIENTO GUARDIAS'!I74</f>
        <v>0</v>
      </c>
      <c r="G74">
        <f>'CUMPLIMIENTO GUARDIAS'!E74</f>
        <v>0</v>
      </c>
      <c r="H74">
        <f>'CUMPLIMIENTO GUARDIAS'!F74</f>
        <v>0</v>
      </c>
      <c r="I74">
        <f>'CUMPLIMIENTO GUARDIAS'!G74</f>
        <v>0</v>
      </c>
      <c r="J74">
        <f>--(C74&lt;=MATCH('DASHBOARD AVANZADO'!$G$3,'DASHBOARD AVANZADO'!$Q$1:$Q$12,0))</f>
        <v>0</v>
      </c>
      <c r="K74">
        <f t="shared" si="1"/>
        <v>0</v>
      </c>
      <c r="L74">
        <v>74</v>
      </c>
    </row>
    <row r="75" spans="1:12" x14ac:dyDescent="0.25">
      <c r="A75" t="s">
        <v>61</v>
      </c>
      <c r="B75" t="s">
        <v>13</v>
      </c>
      <c r="C75">
        <v>8</v>
      </c>
      <c r="D75" t="s">
        <v>54</v>
      </c>
      <c r="E75">
        <f>'CUMPLIMIENTO GUARDIAS'!J75</f>
        <v>0</v>
      </c>
      <c r="F75" s="34">
        <f>'CUMPLIMIENTO GUARDIAS'!I75</f>
        <v>0</v>
      </c>
      <c r="G75">
        <f>'CUMPLIMIENTO GUARDIAS'!E75</f>
        <v>0</v>
      </c>
      <c r="H75">
        <f>'CUMPLIMIENTO GUARDIAS'!F75</f>
        <v>0</v>
      </c>
      <c r="I75">
        <f>'CUMPLIMIENTO GUARDIAS'!G75</f>
        <v>0</v>
      </c>
      <c r="J75">
        <f>--(C75&lt;=MATCH('DASHBOARD AVANZADO'!$G$3,'DASHBOARD AVANZADO'!$Q$1:$Q$12,0))</f>
        <v>0</v>
      </c>
      <c r="K75">
        <f t="shared" si="1"/>
        <v>0</v>
      </c>
      <c r="L75">
        <v>75</v>
      </c>
    </row>
    <row r="76" spans="1:12" x14ac:dyDescent="0.25">
      <c r="A76" t="s">
        <v>61</v>
      </c>
      <c r="B76" t="s">
        <v>14</v>
      </c>
      <c r="C76">
        <v>9</v>
      </c>
      <c r="D76" t="s">
        <v>55</v>
      </c>
      <c r="E76">
        <f>'CUMPLIMIENTO GUARDIAS'!J76</f>
        <v>0</v>
      </c>
      <c r="F76" s="34">
        <f>'CUMPLIMIENTO GUARDIAS'!I76</f>
        <v>0</v>
      </c>
      <c r="G76">
        <f>'CUMPLIMIENTO GUARDIAS'!E76</f>
        <v>0</v>
      </c>
      <c r="H76">
        <f>'CUMPLIMIENTO GUARDIAS'!F76</f>
        <v>0</v>
      </c>
      <c r="I76">
        <f>'CUMPLIMIENTO GUARDIAS'!G76</f>
        <v>0</v>
      </c>
      <c r="J76">
        <f>--(C76&lt;=MATCH('DASHBOARD AVANZADO'!$G$3,'DASHBOARD AVANZADO'!$Q$1:$Q$12,0))</f>
        <v>0</v>
      </c>
      <c r="K76">
        <f t="shared" si="1"/>
        <v>0</v>
      </c>
      <c r="L76">
        <v>76</v>
      </c>
    </row>
    <row r="77" spans="1:12" x14ac:dyDescent="0.25">
      <c r="A77" t="s">
        <v>61</v>
      </c>
      <c r="B77" t="s">
        <v>14</v>
      </c>
      <c r="C77">
        <v>9</v>
      </c>
      <c r="D77" t="s">
        <v>56</v>
      </c>
      <c r="E77">
        <f>'CUMPLIMIENTO GUARDIAS'!J77</f>
        <v>0</v>
      </c>
      <c r="F77" s="34">
        <f>'CUMPLIMIENTO GUARDIAS'!I77</f>
        <v>0</v>
      </c>
      <c r="G77">
        <f>'CUMPLIMIENTO GUARDIAS'!E77</f>
        <v>0</v>
      </c>
      <c r="H77">
        <f>'CUMPLIMIENTO GUARDIAS'!F77</f>
        <v>0</v>
      </c>
      <c r="I77">
        <f>'CUMPLIMIENTO GUARDIAS'!G77</f>
        <v>0</v>
      </c>
      <c r="J77">
        <f>--(C77&lt;=MATCH('DASHBOARD AVANZADO'!$G$3,'DASHBOARD AVANZADO'!$Q$1:$Q$12,0))</f>
        <v>0</v>
      </c>
      <c r="K77">
        <f t="shared" si="1"/>
        <v>0</v>
      </c>
      <c r="L77">
        <v>77</v>
      </c>
    </row>
    <row r="78" spans="1:12" x14ac:dyDescent="0.25">
      <c r="A78" t="s">
        <v>61</v>
      </c>
      <c r="B78" t="s">
        <v>15</v>
      </c>
      <c r="C78">
        <v>10</v>
      </c>
      <c r="D78" t="s">
        <v>20</v>
      </c>
      <c r="E78">
        <f>'CUMPLIMIENTO GUARDIAS'!J78</f>
        <v>0</v>
      </c>
      <c r="F78" s="34">
        <f>'CUMPLIMIENTO GUARDIAS'!I78</f>
        <v>0</v>
      </c>
      <c r="G78">
        <f>'CUMPLIMIENTO GUARDIAS'!E78</f>
        <v>0</v>
      </c>
      <c r="H78">
        <f>'CUMPLIMIENTO GUARDIAS'!F78</f>
        <v>0</v>
      </c>
      <c r="I78">
        <f>'CUMPLIMIENTO GUARDIAS'!G78</f>
        <v>0</v>
      </c>
      <c r="J78">
        <f>--(C78&lt;=MATCH('DASHBOARD AVANZADO'!$G$3,'DASHBOARD AVANZADO'!$Q$1:$Q$12,0))</f>
        <v>0</v>
      </c>
      <c r="K78">
        <f t="shared" si="1"/>
        <v>0</v>
      </c>
      <c r="L78">
        <v>78</v>
      </c>
    </row>
    <row r="79" spans="1:12" x14ac:dyDescent="0.25">
      <c r="A79" t="s">
        <v>61</v>
      </c>
      <c r="B79" t="s">
        <v>15</v>
      </c>
      <c r="C79">
        <v>10</v>
      </c>
      <c r="D79" t="s">
        <v>42</v>
      </c>
      <c r="E79">
        <f>'CUMPLIMIENTO GUARDIAS'!J79</f>
        <v>0</v>
      </c>
      <c r="F79" s="34">
        <f>'CUMPLIMIENTO GUARDIAS'!I79</f>
        <v>0</v>
      </c>
      <c r="G79">
        <f>'CUMPLIMIENTO GUARDIAS'!E79</f>
        <v>0</v>
      </c>
      <c r="H79">
        <f>'CUMPLIMIENTO GUARDIAS'!F79</f>
        <v>0</v>
      </c>
      <c r="I79">
        <f>'CUMPLIMIENTO GUARDIAS'!G79</f>
        <v>0</v>
      </c>
      <c r="J79">
        <f>--(C79&lt;=MATCH('DASHBOARD AVANZADO'!$G$3,'DASHBOARD AVANZADO'!$Q$1:$Q$12,0))</f>
        <v>0</v>
      </c>
      <c r="K79">
        <f t="shared" si="1"/>
        <v>0</v>
      </c>
      <c r="L79">
        <v>79</v>
      </c>
    </row>
    <row r="80" spans="1:12" x14ac:dyDescent="0.25">
      <c r="A80" t="s">
        <v>61</v>
      </c>
      <c r="B80" t="s">
        <v>16</v>
      </c>
      <c r="C80">
        <v>11</v>
      </c>
      <c r="D80" t="s">
        <v>57</v>
      </c>
      <c r="E80">
        <f>'CUMPLIMIENTO GUARDIAS'!J80</f>
        <v>0</v>
      </c>
      <c r="F80" s="34">
        <f>'CUMPLIMIENTO GUARDIAS'!I80</f>
        <v>0</v>
      </c>
      <c r="G80">
        <f>'CUMPLIMIENTO GUARDIAS'!E80</f>
        <v>0</v>
      </c>
      <c r="H80">
        <f>'CUMPLIMIENTO GUARDIAS'!F80</f>
        <v>0</v>
      </c>
      <c r="I80">
        <f>'CUMPLIMIENTO GUARDIAS'!G80</f>
        <v>0</v>
      </c>
      <c r="J80">
        <f>--(C80&lt;=MATCH('DASHBOARD AVANZADO'!$G$3,'DASHBOARD AVANZADO'!$Q$1:$Q$12,0))</f>
        <v>0</v>
      </c>
      <c r="K80">
        <f t="shared" si="1"/>
        <v>0</v>
      </c>
      <c r="L80">
        <v>80</v>
      </c>
    </row>
    <row r="81" spans="1:12" x14ac:dyDescent="0.25">
      <c r="A81" t="s">
        <v>61</v>
      </c>
      <c r="B81" t="s">
        <v>16</v>
      </c>
      <c r="C81">
        <v>11</v>
      </c>
      <c r="D81" t="s">
        <v>39</v>
      </c>
      <c r="E81">
        <f>'CUMPLIMIENTO GUARDIAS'!J81</f>
        <v>0</v>
      </c>
      <c r="F81" s="34">
        <f>'CUMPLIMIENTO GUARDIAS'!I81</f>
        <v>0</v>
      </c>
      <c r="G81">
        <f>'CUMPLIMIENTO GUARDIAS'!E81</f>
        <v>0</v>
      </c>
      <c r="H81">
        <f>'CUMPLIMIENTO GUARDIAS'!F81</f>
        <v>0</v>
      </c>
      <c r="I81">
        <f>'CUMPLIMIENTO GUARDIAS'!G81</f>
        <v>0</v>
      </c>
      <c r="J81">
        <f>--(C81&lt;=MATCH('DASHBOARD AVANZADO'!$G$3,'DASHBOARD AVANZADO'!$Q$1:$Q$12,0))</f>
        <v>0</v>
      </c>
      <c r="K81">
        <f t="shared" si="1"/>
        <v>0</v>
      </c>
      <c r="L81">
        <v>81</v>
      </c>
    </row>
    <row r="82" spans="1:12" x14ac:dyDescent="0.25">
      <c r="A82" t="s">
        <v>61</v>
      </c>
      <c r="B82" t="s">
        <v>17</v>
      </c>
      <c r="C82">
        <v>12</v>
      </c>
      <c r="D82" t="s">
        <v>38</v>
      </c>
      <c r="E82">
        <f>'CUMPLIMIENTO GUARDIAS'!J82</f>
        <v>0</v>
      </c>
      <c r="F82" s="34">
        <f>'CUMPLIMIENTO GUARDIAS'!I82</f>
        <v>0</v>
      </c>
      <c r="G82">
        <f>'CUMPLIMIENTO GUARDIAS'!E82</f>
        <v>0</v>
      </c>
      <c r="H82">
        <f>'CUMPLIMIENTO GUARDIAS'!F82</f>
        <v>0</v>
      </c>
      <c r="I82">
        <f>'CUMPLIMIENTO GUARDIAS'!G82</f>
        <v>0</v>
      </c>
      <c r="J82">
        <f>--(C82&lt;=MATCH('DASHBOARD AVANZADO'!$G$3,'DASHBOARD AVANZADO'!$Q$1:$Q$12,0))</f>
        <v>0</v>
      </c>
      <c r="K82">
        <f t="shared" si="1"/>
        <v>0</v>
      </c>
      <c r="L82">
        <v>82</v>
      </c>
    </row>
    <row r="83" spans="1:12" x14ac:dyDescent="0.25">
      <c r="A83" t="s">
        <v>88</v>
      </c>
      <c r="B83" t="s">
        <v>6</v>
      </c>
      <c r="C83">
        <v>1</v>
      </c>
      <c r="D83" t="s">
        <v>38</v>
      </c>
      <c r="E83" t="str">
        <f>'CUMPLIMIENTO GUARDIAS'!J83</f>
        <v>C</v>
      </c>
      <c r="F83" s="34">
        <f>'CUMPLIMIENTO GUARDIAS'!I83</f>
        <v>1</v>
      </c>
      <c r="G83" t="str">
        <f>'CUMPLIMIENTO GUARDIAS'!E83</f>
        <v>C</v>
      </c>
      <c r="H83" t="str">
        <f>'CUMPLIMIENTO GUARDIAS'!F83</f>
        <v>C</v>
      </c>
      <c r="I83" t="str">
        <f>'CUMPLIMIENTO GUARDIAS'!G83</f>
        <v>C</v>
      </c>
      <c r="J83">
        <f>--(C83&lt;=MATCH('DASHBOARD AVANZADO'!$G$3,'DASHBOARD AVANZADO'!$Q$1:$Q$12,0))</f>
        <v>1</v>
      </c>
      <c r="K83">
        <f t="shared" si="1"/>
        <v>1</v>
      </c>
      <c r="L83">
        <v>83</v>
      </c>
    </row>
    <row r="84" spans="1:12" x14ac:dyDescent="0.25">
      <c r="A84" t="s">
        <v>88</v>
      </c>
      <c r="B84" t="s">
        <v>6</v>
      </c>
      <c r="C84">
        <v>1</v>
      </c>
      <c r="D84" t="s">
        <v>39</v>
      </c>
      <c r="E84" t="str">
        <f>'CUMPLIMIENTO GUARDIAS'!J84</f>
        <v>C</v>
      </c>
      <c r="F84" s="34">
        <f>'CUMPLIMIENTO GUARDIAS'!I84</f>
        <v>1</v>
      </c>
      <c r="G84" t="str">
        <f>'CUMPLIMIENTO GUARDIAS'!E84</f>
        <v>C</v>
      </c>
      <c r="H84" t="str">
        <f>'CUMPLIMIENTO GUARDIAS'!F84</f>
        <v>C</v>
      </c>
      <c r="I84" t="str">
        <f>'CUMPLIMIENTO GUARDIAS'!G84</f>
        <v>C</v>
      </c>
      <c r="J84">
        <f>--(C84&lt;=MATCH('DASHBOARD AVANZADO'!$G$3,'DASHBOARD AVANZADO'!$Q$1:$Q$12,0))</f>
        <v>1</v>
      </c>
      <c r="K84">
        <f t="shared" si="1"/>
        <v>1</v>
      </c>
      <c r="L84">
        <v>84</v>
      </c>
    </row>
    <row r="85" spans="1:12" x14ac:dyDescent="0.25">
      <c r="A85" t="s">
        <v>88</v>
      </c>
      <c r="B85" t="s">
        <v>7</v>
      </c>
      <c r="C85">
        <v>2</v>
      </c>
      <c r="D85" t="s">
        <v>40</v>
      </c>
      <c r="E85" t="str">
        <f>'CUMPLIMIENTO GUARDIAS'!J85</f>
        <v>C</v>
      </c>
      <c r="F85" s="34">
        <f>'CUMPLIMIENTO GUARDIAS'!I85</f>
        <v>1</v>
      </c>
      <c r="G85" t="str">
        <f>'CUMPLIMIENTO GUARDIAS'!E85</f>
        <v>C</v>
      </c>
      <c r="H85" t="str">
        <f>'CUMPLIMIENTO GUARDIAS'!F85</f>
        <v>C</v>
      </c>
      <c r="I85" t="str">
        <f>'CUMPLIMIENTO GUARDIAS'!G85</f>
        <v>C</v>
      </c>
      <c r="J85">
        <f>--(C85&lt;=MATCH('DASHBOARD AVANZADO'!$G$3,'DASHBOARD AVANZADO'!$Q$1:$Q$12,0))</f>
        <v>1</v>
      </c>
      <c r="K85">
        <f t="shared" si="1"/>
        <v>1</v>
      </c>
      <c r="L85">
        <v>85</v>
      </c>
    </row>
    <row r="86" spans="1:12" x14ac:dyDescent="0.25">
      <c r="A86" t="s">
        <v>88</v>
      </c>
      <c r="B86" t="s">
        <v>7</v>
      </c>
      <c r="C86">
        <v>2</v>
      </c>
      <c r="D86" t="s">
        <v>20</v>
      </c>
      <c r="E86" t="str">
        <f>'CUMPLIMIENTO GUARDIAS'!J86</f>
        <v>C</v>
      </c>
      <c r="F86" s="34">
        <f>'CUMPLIMIENTO GUARDIAS'!I86</f>
        <v>1</v>
      </c>
      <c r="G86" t="str">
        <f>'CUMPLIMIENTO GUARDIAS'!E86</f>
        <v>C</v>
      </c>
      <c r="H86" t="str">
        <f>'CUMPLIMIENTO GUARDIAS'!F86</f>
        <v>C</v>
      </c>
      <c r="I86" t="str">
        <f>'CUMPLIMIENTO GUARDIAS'!G86</f>
        <v>C</v>
      </c>
      <c r="J86">
        <f>--(C86&lt;=MATCH('DASHBOARD AVANZADO'!$G$3,'DASHBOARD AVANZADO'!$Q$1:$Q$12,0))</f>
        <v>1</v>
      </c>
      <c r="K86">
        <f t="shared" si="1"/>
        <v>1</v>
      </c>
      <c r="L86">
        <v>86</v>
      </c>
    </row>
    <row r="87" spans="1:12" x14ac:dyDescent="0.25">
      <c r="A87" t="s">
        <v>88</v>
      </c>
      <c r="B87" t="s">
        <v>8</v>
      </c>
      <c r="C87">
        <v>3</v>
      </c>
      <c r="D87" t="s">
        <v>41</v>
      </c>
      <c r="E87" t="str">
        <f>'CUMPLIMIENTO GUARDIAS'!J87</f>
        <v>C</v>
      </c>
      <c r="F87" s="34">
        <f>'CUMPLIMIENTO GUARDIAS'!I87</f>
        <v>1</v>
      </c>
      <c r="G87" t="str">
        <f>'CUMPLIMIENTO GUARDIAS'!E87</f>
        <v>C</v>
      </c>
      <c r="H87" t="str">
        <f>'CUMPLIMIENTO GUARDIAS'!F87</f>
        <v>C</v>
      </c>
      <c r="I87" t="str">
        <f>'CUMPLIMIENTO GUARDIAS'!G87</f>
        <v>C</v>
      </c>
      <c r="J87">
        <f>--(C87&lt;=MATCH('DASHBOARD AVANZADO'!$G$3,'DASHBOARD AVANZADO'!$Q$1:$Q$12,0))</f>
        <v>1</v>
      </c>
      <c r="K87">
        <f t="shared" si="1"/>
        <v>1</v>
      </c>
      <c r="L87">
        <v>87</v>
      </c>
    </row>
    <row r="88" spans="1:12" x14ac:dyDescent="0.25">
      <c r="A88" t="s">
        <v>88</v>
      </c>
      <c r="B88" t="s">
        <v>8</v>
      </c>
      <c r="C88">
        <v>3</v>
      </c>
      <c r="D88" t="s">
        <v>42</v>
      </c>
      <c r="E88" t="str">
        <f>'CUMPLIMIENTO GUARDIAS'!J88</f>
        <v>C</v>
      </c>
      <c r="F88" s="34">
        <f>'CUMPLIMIENTO GUARDIAS'!I88</f>
        <v>1</v>
      </c>
      <c r="G88" t="str">
        <f>'CUMPLIMIENTO GUARDIAS'!E88</f>
        <v>C</v>
      </c>
      <c r="H88" t="str">
        <f>'CUMPLIMIENTO GUARDIAS'!F88</f>
        <v>C</v>
      </c>
      <c r="I88" t="str">
        <f>'CUMPLIMIENTO GUARDIAS'!G88</f>
        <v>C</v>
      </c>
      <c r="J88">
        <f>--(C88&lt;=MATCH('DASHBOARD AVANZADO'!$G$3,'DASHBOARD AVANZADO'!$Q$1:$Q$12,0))</f>
        <v>1</v>
      </c>
      <c r="K88">
        <f t="shared" si="1"/>
        <v>1</v>
      </c>
      <c r="L88">
        <v>88</v>
      </c>
    </row>
    <row r="89" spans="1:12" x14ac:dyDescent="0.25">
      <c r="A89" t="s">
        <v>88</v>
      </c>
      <c r="B89" t="s">
        <v>9</v>
      </c>
      <c r="C89">
        <v>4</v>
      </c>
      <c r="D89" t="s">
        <v>43</v>
      </c>
      <c r="E89" t="str">
        <f>'CUMPLIMIENTO GUARDIAS'!J89</f>
        <v>C</v>
      </c>
      <c r="F89" s="34">
        <f>'CUMPLIMIENTO GUARDIAS'!I89</f>
        <v>1</v>
      </c>
      <c r="G89" t="str">
        <f>'CUMPLIMIENTO GUARDIAS'!E89</f>
        <v>C</v>
      </c>
      <c r="H89" t="str">
        <f>'CUMPLIMIENTO GUARDIAS'!F89</f>
        <v>C</v>
      </c>
      <c r="I89" t="str">
        <f>'CUMPLIMIENTO GUARDIAS'!G89</f>
        <v>C</v>
      </c>
      <c r="J89">
        <f>--(C89&lt;=MATCH('DASHBOARD AVANZADO'!$G$3,'DASHBOARD AVANZADO'!$Q$1:$Q$12,0))</f>
        <v>1</v>
      </c>
      <c r="K89">
        <f t="shared" si="1"/>
        <v>1</v>
      </c>
      <c r="L89">
        <v>89</v>
      </c>
    </row>
    <row r="90" spans="1:12" x14ac:dyDescent="0.25">
      <c r="A90" t="s">
        <v>88</v>
      </c>
      <c r="B90" t="s">
        <v>9</v>
      </c>
      <c r="C90">
        <v>4</v>
      </c>
      <c r="D90" t="s">
        <v>44</v>
      </c>
      <c r="E90" t="str">
        <f>'CUMPLIMIENTO GUARDIAS'!J90</f>
        <v>C</v>
      </c>
      <c r="F90" s="34">
        <f>'CUMPLIMIENTO GUARDIAS'!I90</f>
        <v>1</v>
      </c>
      <c r="G90" t="str">
        <f>'CUMPLIMIENTO GUARDIAS'!E90</f>
        <v>C</v>
      </c>
      <c r="H90" t="str">
        <f>'CUMPLIMIENTO GUARDIAS'!F90</f>
        <v>C</v>
      </c>
      <c r="I90" t="str">
        <f>'CUMPLIMIENTO GUARDIAS'!G90</f>
        <v>C</v>
      </c>
      <c r="J90">
        <f>--(C90&lt;=MATCH('DASHBOARD AVANZADO'!$G$3,'DASHBOARD AVANZADO'!$Q$1:$Q$12,0))</f>
        <v>1</v>
      </c>
      <c r="K90">
        <f t="shared" si="1"/>
        <v>1</v>
      </c>
      <c r="L90">
        <v>90</v>
      </c>
    </row>
    <row r="91" spans="1:12" x14ac:dyDescent="0.25">
      <c r="A91" t="s">
        <v>88</v>
      </c>
      <c r="B91" t="s">
        <v>9</v>
      </c>
      <c r="C91">
        <v>4</v>
      </c>
      <c r="D91" t="s">
        <v>45</v>
      </c>
      <c r="E91" t="str">
        <f>'CUMPLIMIENTO GUARDIAS'!J91</f>
        <v>C</v>
      </c>
      <c r="F91" s="34">
        <f>'CUMPLIMIENTO GUARDIAS'!I91</f>
        <v>1</v>
      </c>
      <c r="G91" t="str">
        <f>'CUMPLIMIENTO GUARDIAS'!E91</f>
        <v>C</v>
      </c>
      <c r="H91" t="str">
        <f>'CUMPLIMIENTO GUARDIAS'!F91</f>
        <v>C</v>
      </c>
      <c r="I91" t="str">
        <f>'CUMPLIMIENTO GUARDIAS'!G91</f>
        <v>C</v>
      </c>
      <c r="J91">
        <f>--(C91&lt;=MATCH('DASHBOARD AVANZADO'!$G$3,'DASHBOARD AVANZADO'!$Q$1:$Q$12,0))</f>
        <v>1</v>
      </c>
      <c r="K91">
        <f t="shared" si="1"/>
        <v>1</v>
      </c>
      <c r="L91">
        <v>91</v>
      </c>
    </row>
    <row r="92" spans="1:12" x14ac:dyDescent="0.25">
      <c r="A92" t="s">
        <v>88</v>
      </c>
      <c r="B92" t="s">
        <v>10</v>
      </c>
      <c r="C92">
        <v>5</v>
      </c>
      <c r="D92" t="s">
        <v>46</v>
      </c>
      <c r="E92" t="str">
        <f>'CUMPLIMIENTO GUARDIAS'!J92</f>
        <v>C</v>
      </c>
      <c r="F92" s="34">
        <f>'CUMPLIMIENTO GUARDIAS'!I92</f>
        <v>1</v>
      </c>
      <c r="G92" t="str">
        <f>'CUMPLIMIENTO GUARDIAS'!E92</f>
        <v>C</v>
      </c>
      <c r="H92" t="str">
        <f>'CUMPLIMIENTO GUARDIAS'!F92</f>
        <v>C</v>
      </c>
      <c r="I92" t="str">
        <f>'CUMPLIMIENTO GUARDIAS'!G92</f>
        <v>C</v>
      </c>
      <c r="J92">
        <f>--(C92&lt;=MATCH('DASHBOARD AVANZADO'!$G$3,'DASHBOARD AVANZADO'!$Q$1:$Q$12,0))</f>
        <v>1</v>
      </c>
      <c r="K92">
        <f t="shared" si="1"/>
        <v>1</v>
      </c>
      <c r="L92">
        <v>92</v>
      </c>
    </row>
    <row r="93" spans="1:12" x14ac:dyDescent="0.25">
      <c r="A93" t="s">
        <v>88</v>
      </c>
      <c r="B93" t="s">
        <v>10</v>
      </c>
      <c r="C93">
        <v>5</v>
      </c>
      <c r="D93" t="s">
        <v>47</v>
      </c>
      <c r="E93" t="str">
        <f>'CUMPLIMIENTO GUARDIAS'!J93</f>
        <v>C</v>
      </c>
      <c r="F93" s="34">
        <f>'CUMPLIMIENTO GUARDIAS'!I93</f>
        <v>1</v>
      </c>
      <c r="G93" t="str">
        <f>'CUMPLIMIENTO GUARDIAS'!E93</f>
        <v>C</v>
      </c>
      <c r="H93" t="str">
        <f>'CUMPLIMIENTO GUARDIAS'!F93</f>
        <v>C</v>
      </c>
      <c r="I93" t="str">
        <f>'CUMPLIMIENTO GUARDIAS'!G93</f>
        <v>C</v>
      </c>
      <c r="J93">
        <f>--(C93&lt;=MATCH('DASHBOARD AVANZADO'!$G$3,'DASHBOARD AVANZADO'!$Q$1:$Q$12,0))</f>
        <v>1</v>
      </c>
      <c r="K93">
        <f t="shared" si="1"/>
        <v>1</v>
      </c>
      <c r="L93">
        <v>93</v>
      </c>
    </row>
    <row r="94" spans="1:12" x14ac:dyDescent="0.25">
      <c r="A94" t="s">
        <v>88</v>
      </c>
      <c r="B94" t="s">
        <v>11</v>
      </c>
      <c r="C94">
        <v>6</v>
      </c>
      <c r="D94" t="s">
        <v>20</v>
      </c>
      <c r="E94" t="str">
        <f>'CUMPLIMIENTO GUARDIAS'!J94</f>
        <v>C</v>
      </c>
      <c r="F94" s="34">
        <f>'CUMPLIMIENTO GUARDIAS'!I94</f>
        <v>1</v>
      </c>
      <c r="G94" t="str">
        <f>'CUMPLIMIENTO GUARDIAS'!E94</f>
        <v>C</v>
      </c>
      <c r="H94" t="str">
        <f>'CUMPLIMIENTO GUARDIAS'!F94</f>
        <v>C</v>
      </c>
      <c r="I94" t="str">
        <f>'CUMPLIMIENTO GUARDIAS'!G94</f>
        <v>C</v>
      </c>
      <c r="J94">
        <f>--(C94&lt;=MATCH('DASHBOARD AVANZADO'!$G$3,'DASHBOARD AVANZADO'!$Q$1:$Q$12,0))</f>
        <v>1</v>
      </c>
      <c r="K94">
        <f t="shared" si="1"/>
        <v>1</v>
      </c>
      <c r="L94">
        <v>94</v>
      </c>
    </row>
    <row r="95" spans="1:12" x14ac:dyDescent="0.25">
      <c r="A95" t="s">
        <v>88</v>
      </c>
      <c r="B95" t="s">
        <v>11</v>
      </c>
      <c r="C95">
        <v>6</v>
      </c>
      <c r="D95" t="s">
        <v>48</v>
      </c>
      <c r="E95" t="str">
        <f>'CUMPLIMIENTO GUARDIAS'!J95</f>
        <v>C</v>
      </c>
      <c r="F95" s="34">
        <f>'CUMPLIMIENTO GUARDIAS'!I95</f>
        <v>1</v>
      </c>
      <c r="G95" t="str">
        <f>'CUMPLIMIENTO GUARDIAS'!E95</f>
        <v>C</v>
      </c>
      <c r="H95" t="str">
        <f>'CUMPLIMIENTO GUARDIAS'!F95</f>
        <v>C</v>
      </c>
      <c r="I95" t="str">
        <f>'CUMPLIMIENTO GUARDIAS'!G95</f>
        <v>C</v>
      </c>
      <c r="J95">
        <f>--(C95&lt;=MATCH('DASHBOARD AVANZADO'!$G$3,'DASHBOARD AVANZADO'!$Q$1:$Q$12,0))</f>
        <v>1</v>
      </c>
      <c r="K95">
        <f t="shared" si="1"/>
        <v>1</v>
      </c>
      <c r="L95">
        <v>95</v>
      </c>
    </row>
    <row r="96" spans="1:12" x14ac:dyDescent="0.25">
      <c r="A96" t="s">
        <v>88</v>
      </c>
      <c r="B96" t="s">
        <v>11</v>
      </c>
      <c r="C96">
        <v>6</v>
      </c>
      <c r="D96" t="s">
        <v>49</v>
      </c>
      <c r="E96" t="str">
        <f>'CUMPLIMIENTO GUARDIAS'!J96</f>
        <v>F</v>
      </c>
      <c r="F96" s="34">
        <f>'CUMPLIMIENTO GUARDIAS'!I96</f>
        <v>0</v>
      </c>
      <c r="G96" t="str">
        <f>'CUMPLIMIENTO GUARDIAS'!E96</f>
        <v>F</v>
      </c>
      <c r="H96" t="str">
        <f>'CUMPLIMIENTO GUARDIAS'!F96</f>
        <v>F</v>
      </c>
      <c r="I96" t="str">
        <f>'CUMPLIMIENTO GUARDIAS'!G96</f>
        <v>F</v>
      </c>
      <c r="J96">
        <f>--(C96&lt;=MATCH('DASHBOARD AVANZADO'!$G$3,'DASHBOARD AVANZADO'!$Q$1:$Q$12,0))</f>
        <v>1</v>
      </c>
      <c r="K96">
        <f t="shared" si="1"/>
        <v>0</v>
      </c>
      <c r="L96">
        <v>96</v>
      </c>
    </row>
    <row r="97" spans="1:12" x14ac:dyDescent="0.25">
      <c r="A97" t="s">
        <v>88</v>
      </c>
      <c r="B97" t="s">
        <v>12</v>
      </c>
      <c r="C97">
        <v>7</v>
      </c>
      <c r="D97" t="s">
        <v>38</v>
      </c>
      <c r="E97" t="str">
        <f>'CUMPLIMIENTO GUARDIAS'!J97</f>
        <v>C</v>
      </c>
      <c r="F97" s="34">
        <f>'CUMPLIMIENTO GUARDIAS'!I97</f>
        <v>1</v>
      </c>
      <c r="G97" t="str">
        <f>'CUMPLIMIENTO GUARDIAS'!E97</f>
        <v>C</v>
      </c>
      <c r="H97" t="str">
        <f>'CUMPLIMIENTO GUARDIAS'!F97</f>
        <v>C</v>
      </c>
      <c r="I97" t="str">
        <f>'CUMPLIMIENTO GUARDIAS'!G97</f>
        <v>C</v>
      </c>
      <c r="J97">
        <f>--(C97&lt;=MATCH('DASHBOARD AVANZADO'!$G$3,'DASHBOARD AVANZADO'!$Q$1:$Q$12,0))</f>
        <v>1</v>
      </c>
      <c r="K97">
        <f t="shared" si="1"/>
        <v>1</v>
      </c>
      <c r="L97">
        <v>97</v>
      </c>
    </row>
    <row r="98" spans="1:12" x14ac:dyDescent="0.25">
      <c r="A98" t="s">
        <v>88</v>
      </c>
      <c r="B98" t="s">
        <v>12</v>
      </c>
      <c r="C98">
        <v>7</v>
      </c>
      <c r="D98" t="s">
        <v>87</v>
      </c>
      <c r="E98" t="str">
        <f>'CUMPLIMIENTO GUARDIAS'!J98</f>
        <v>F</v>
      </c>
      <c r="F98" s="34">
        <f>'CUMPLIMIENTO GUARDIAS'!I98</f>
        <v>0</v>
      </c>
      <c r="G98">
        <f>'CUMPLIMIENTO GUARDIAS'!E98</f>
        <v>0</v>
      </c>
      <c r="H98">
        <f>'CUMPLIMIENTO GUARDIAS'!F98</f>
        <v>0</v>
      </c>
      <c r="I98">
        <f>'CUMPLIMIENTO GUARDIAS'!G98</f>
        <v>0</v>
      </c>
      <c r="J98">
        <f>--(C98&lt;=MATCH('DASHBOARD AVANZADO'!$G$3,'DASHBOARD AVANZADO'!$Q$1:$Q$12,0))</f>
        <v>1</v>
      </c>
      <c r="K98">
        <f t="shared" si="1"/>
        <v>0</v>
      </c>
      <c r="L98">
        <v>98</v>
      </c>
    </row>
    <row r="99" spans="1:12" x14ac:dyDescent="0.25">
      <c r="A99" t="s">
        <v>88</v>
      </c>
      <c r="B99" t="s">
        <v>12</v>
      </c>
      <c r="C99">
        <v>7</v>
      </c>
      <c r="D99" t="s">
        <v>51</v>
      </c>
      <c r="E99" t="str">
        <f>'CUMPLIMIENTO GUARDIAS'!J99</f>
        <v>EP</v>
      </c>
      <c r="F99" s="34">
        <f>'CUMPLIMIENTO GUARDIAS'!I99</f>
        <v>0</v>
      </c>
      <c r="G99" t="str">
        <f>'CUMPLIMIENTO GUARDIAS'!E99</f>
        <v>EP</v>
      </c>
      <c r="H99" t="str">
        <f>'CUMPLIMIENTO GUARDIAS'!F99</f>
        <v>EP</v>
      </c>
      <c r="I99" t="str">
        <f>'CUMPLIMIENTO GUARDIAS'!G99</f>
        <v>EP</v>
      </c>
      <c r="J99">
        <f>--(C99&lt;=MATCH('DASHBOARD AVANZADO'!$G$3,'DASHBOARD AVANZADO'!$Q$1:$Q$12,0))</f>
        <v>1</v>
      </c>
      <c r="K99">
        <f t="shared" si="1"/>
        <v>0</v>
      </c>
      <c r="L99">
        <v>99</v>
      </c>
    </row>
    <row r="100" spans="1:12" x14ac:dyDescent="0.25">
      <c r="A100" t="s">
        <v>88</v>
      </c>
      <c r="B100" t="s">
        <v>13</v>
      </c>
      <c r="C100">
        <v>8</v>
      </c>
      <c r="D100" t="s">
        <v>52</v>
      </c>
      <c r="E100">
        <f>'CUMPLIMIENTO GUARDIAS'!J100</f>
        <v>0</v>
      </c>
      <c r="F100" s="34">
        <f>'CUMPLIMIENTO GUARDIAS'!I100</f>
        <v>0</v>
      </c>
      <c r="G100">
        <f>'CUMPLIMIENTO GUARDIAS'!E100</f>
        <v>0</v>
      </c>
      <c r="H100">
        <f>'CUMPLIMIENTO GUARDIAS'!F100</f>
        <v>0</v>
      </c>
      <c r="I100">
        <f>'CUMPLIMIENTO GUARDIAS'!G100</f>
        <v>0</v>
      </c>
      <c r="J100">
        <f>--(C100&lt;=MATCH('DASHBOARD AVANZADO'!$G$3,'DASHBOARD AVANZADO'!$Q$1:$Q$12,0))</f>
        <v>0</v>
      </c>
      <c r="K100">
        <f t="shared" si="1"/>
        <v>0</v>
      </c>
      <c r="L100">
        <v>100</v>
      </c>
    </row>
    <row r="101" spans="1:12" x14ac:dyDescent="0.25">
      <c r="A101" t="s">
        <v>88</v>
      </c>
      <c r="B101" t="s">
        <v>13</v>
      </c>
      <c r="C101">
        <v>8</v>
      </c>
      <c r="D101" t="s">
        <v>53</v>
      </c>
      <c r="E101">
        <f>'CUMPLIMIENTO GUARDIAS'!J101</f>
        <v>0</v>
      </c>
      <c r="F101" s="34">
        <f>'CUMPLIMIENTO GUARDIAS'!I101</f>
        <v>0</v>
      </c>
      <c r="G101">
        <f>'CUMPLIMIENTO GUARDIAS'!E101</f>
        <v>0</v>
      </c>
      <c r="H101">
        <f>'CUMPLIMIENTO GUARDIAS'!F101</f>
        <v>0</v>
      </c>
      <c r="I101">
        <f>'CUMPLIMIENTO GUARDIAS'!G101</f>
        <v>0</v>
      </c>
      <c r="J101">
        <f>--(C101&lt;=MATCH('DASHBOARD AVANZADO'!$G$3,'DASHBOARD AVANZADO'!$Q$1:$Q$12,0))</f>
        <v>0</v>
      </c>
      <c r="K101">
        <f t="shared" si="1"/>
        <v>0</v>
      </c>
      <c r="L101">
        <v>101</v>
      </c>
    </row>
    <row r="102" spans="1:12" x14ac:dyDescent="0.25">
      <c r="A102" t="s">
        <v>88</v>
      </c>
      <c r="B102" t="s">
        <v>13</v>
      </c>
      <c r="C102">
        <v>8</v>
      </c>
      <c r="D102" t="s">
        <v>54</v>
      </c>
      <c r="E102">
        <f>'CUMPLIMIENTO GUARDIAS'!J102</f>
        <v>0</v>
      </c>
      <c r="F102" s="34">
        <f>'CUMPLIMIENTO GUARDIAS'!I102</f>
        <v>0</v>
      </c>
      <c r="G102">
        <f>'CUMPLIMIENTO GUARDIAS'!E102</f>
        <v>0</v>
      </c>
      <c r="H102">
        <f>'CUMPLIMIENTO GUARDIAS'!F102</f>
        <v>0</v>
      </c>
      <c r="I102">
        <f>'CUMPLIMIENTO GUARDIAS'!G102</f>
        <v>0</v>
      </c>
      <c r="J102">
        <f>--(C102&lt;=MATCH('DASHBOARD AVANZADO'!$G$3,'DASHBOARD AVANZADO'!$Q$1:$Q$12,0))</f>
        <v>0</v>
      </c>
      <c r="K102">
        <f t="shared" si="1"/>
        <v>0</v>
      </c>
      <c r="L102">
        <v>102</v>
      </c>
    </row>
    <row r="103" spans="1:12" x14ac:dyDescent="0.25">
      <c r="A103" t="s">
        <v>88</v>
      </c>
      <c r="B103" t="s">
        <v>14</v>
      </c>
      <c r="C103">
        <v>9</v>
      </c>
      <c r="D103" t="s">
        <v>55</v>
      </c>
      <c r="E103">
        <f>'CUMPLIMIENTO GUARDIAS'!J103</f>
        <v>0</v>
      </c>
      <c r="F103" s="34">
        <f>'CUMPLIMIENTO GUARDIAS'!I103</f>
        <v>0</v>
      </c>
      <c r="G103">
        <f>'CUMPLIMIENTO GUARDIAS'!E103</f>
        <v>0</v>
      </c>
      <c r="H103">
        <f>'CUMPLIMIENTO GUARDIAS'!F103</f>
        <v>0</v>
      </c>
      <c r="I103">
        <f>'CUMPLIMIENTO GUARDIAS'!G103</f>
        <v>0</v>
      </c>
      <c r="J103">
        <f>--(C103&lt;=MATCH('DASHBOARD AVANZADO'!$G$3,'DASHBOARD AVANZADO'!$Q$1:$Q$12,0))</f>
        <v>0</v>
      </c>
      <c r="K103">
        <f t="shared" si="1"/>
        <v>0</v>
      </c>
      <c r="L103">
        <v>103</v>
      </c>
    </row>
    <row r="104" spans="1:12" x14ac:dyDescent="0.25">
      <c r="A104" t="s">
        <v>88</v>
      </c>
      <c r="B104" t="s">
        <v>14</v>
      </c>
      <c r="C104">
        <v>9</v>
      </c>
      <c r="D104" t="s">
        <v>56</v>
      </c>
      <c r="E104">
        <f>'CUMPLIMIENTO GUARDIAS'!J104</f>
        <v>0</v>
      </c>
      <c r="F104" s="34">
        <f>'CUMPLIMIENTO GUARDIAS'!I104</f>
        <v>0</v>
      </c>
      <c r="G104">
        <f>'CUMPLIMIENTO GUARDIAS'!E104</f>
        <v>0</v>
      </c>
      <c r="H104">
        <f>'CUMPLIMIENTO GUARDIAS'!F104</f>
        <v>0</v>
      </c>
      <c r="I104">
        <f>'CUMPLIMIENTO GUARDIAS'!G104</f>
        <v>0</v>
      </c>
      <c r="J104">
        <f>--(C104&lt;=MATCH('DASHBOARD AVANZADO'!$G$3,'DASHBOARD AVANZADO'!$Q$1:$Q$12,0))</f>
        <v>0</v>
      </c>
      <c r="K104">
        <f t="shared" si="1"/>
        <v>0</v>
      </c>
      <c r="L104">
        <v>104</v>
      </c>
    </row>
    <row r="105" spans="1:12" x14ac:dyDescent="0.25">
      <c r="A105" t="s">
        <v>88</v>
      </c>
      <c r="B105" t="s">
        <v>15</v>
      </c>
      <c r="C105">
        <v>10</v>
      </c>
      <c r="D105" t="s">
        <v>20</v>
      </c>
      <c r="E105">
        <f>'CUMPLIMIENTO GUARDIAS'!J105</f>
        <v>0</v>
      </c>
      <c r="F105" s="34">
        <f>'CUMPLIMIENTO GUARDIAS'!I105</f>
        <v>0</v>
      </c>
      <c r="G105">
        <f>'CUMPLIMIENTO GUARDIAS'!E105</f>
        <v>0</v>
      </c>
      <c r="H105">
        <f>'CUMPLIMIENTO GUARDIAS'!F105</f>
        <v>0</v>
      </c>
      <c r="I105">
        <f>'CUMPLIMIENTO GUARDIAS'!G105</f>
        <v>0</v>
      </c>
      <c r="J105">
        <f>--(C105&lt;=MATCH('DASHBOARD AVANZADO'!$G$3,'DASHBOARD AVANZADO'!$Q$1:$Q$12,0))</f>
        <v>0</v>
      </c>
      <c r="K105">
        <f t="shared" si="1"/>
        <v>0</v>
      </c>
      <c r="L105">
        <v>105</v>
      </c>
    </row>
    <row r="106" spans="1:12" x14ac:dyDescent="0.25">
      <c r="A106" t="s">
        <v>88</v>
      </c>
      <c r="B106" t="s">
        <v>15</v>
      </c>
      <c r="C106">
        <v>10</v>
      </c>
      <c r="D106" t="s">
        <v>42</v>
      </c>
      <c r="E106">
        <f>'CUMPLIMIENTO GUARDIAS'!J106</f>
        <v>0</v>
      </c>
      <c r="F106" s="34">
        <f>'CUMPLIMIENTO GUARDIAS'!I106</f>
        <v>0</v>
      </c>
      <c r="G106">
        <f>'CUMPLIMIENTO GUARDIAS'!E106</f>
        <v>0</v>
      </c>
      <c r="H106">
        <f>'CUMPLIMIENTO GUARDIAS'!F106</f>
        <v>0</v>
      </c>
      <c r="I106">
        <f>'CUMPLIMIENTO GUARDIAS'!G106</f>
        <v>0</v>
      </c>
      <c r="J106">
        <f>--(C106&lt;=MATCH('DASHBOARD AVANZADO'!$G$3,'DASHBOARD AVANZADO'!$Q$1:$Q$12,0))</f>
        <v>0</v>
      </c>
      <c r="K106">
        <f t="shared" si="1"/>
        <v>0</v>
      </c>
      <c r="L106">
        <v>106</v>
      </c>
    </row>
    <row r="107" spans="1:12" x14ac:dyDescent="0.25">
      <c r="A107" t="s">
        <v>88</v>
      </c>
      <c r="B107" t="s">
        <v>16</v>
      </c>
      <c r="C107">
        <v>11</v>
      </c>
      <c r="D107" t="s">
        <v>57</v>
      </c>
      <c r="E107">
        <f>'CUMPLIMIENTO GUARDIAS'!J107</f>
        <v>0</v>
      </c>
      <c r="F107" s="34">
        <f>'CUMPLIMIENTO GUARDIAS'!I107</f>
        <v>0</v>
      </c>
      <c r="G107">
        <f>'CUMPLIMIENTO GUARDIAS'!E107</f>
        <v>0</v>
      </c>
      <c r="H107">
        <f>'CUMPLIMIENTO GUARDIAS'!F107</f>
        <v>0</v>
      </c>
      <c r="I107">
        <f>'CUMPLIMIENTO GUARDIAS'!G107</f>
        <v>0</v>
      </c>
      <c r="J107">
        <f>--(C107&lt;=MATCH('DASHBOARD AVANZADO'!$G$3,'DASHBOARD AVANZADO'!$Q$1:$Q$12,0))</f>
        <v>0</v>
      </c>
      <c r="K107">
        <f t="shared" si="1"/>
        <v>0</v>
      </c>
      <c r="L107">
        <v>107</v>
      </c>
    </row>
    <row r="108" spans="1:12" x14ac:dyDescent="0.25">
      <c r="A108" t="s">
        <v>88</v>
      </c>
      <c r="B108" t="s">
        <v>16</v>
      </c>
      <c r="C108">
        <v>11</v>
      </c>
      <c r="D108" t="s">
        <v>39</v>
      </c>
      <c r="E108">
        <f>'CUMPLIMIENTO GUARDIAS'!J108</f>
        <v>0</v>
      </c>
      <c r="F108" s="34">
        <f>'CUMPLIMIENTO GUARDIAS'!I108</f>
        <v>0</v>
      </c>
      <c r="G108">
        <f>'CUMPLIMIENTO GUARDIAS'!E108</f>
        <v>0</v>
      </c>
      <c r="H108">
        <f>'CUMPLIMIENTO GUARDIAS'!F108</f>
        <v>0</v>
      </c>
      <c r="I108">
        <f>'CUMPLIMIENTO GUARDIAS'!G108</f>
        <v>0</v>
      </c>
      <c r="J108">
        <f>--(C108&lt;=MATCH('DASHBOARD AVANZADO'!$G$3,'DASHBOARD AVANZADO'!$Q$1:$Q$12,0))</f>
        <v>0</v>
      </c>
      <c r="K108">
        <f t="shared" si="1"/>
        <v>0</v>
      </c>
      <c r="L108">
        <v>108</v>
      </c>
    </row>
    <row r="109" spans="1:12" x14ac:dyDescent="0.25">
      <c r="A109" t="s">
        <v>88</v>
      </c>
      <c r="B109" t="s">
        <v>17</v>
      </c>
      <c r="C109">
        <v>12</v>
      </c>
      <c r="D109" t="s">
        <v>38</v>
      </c>
      <c r="E109">
        <f>'CUMPLIMIENTO GUARDIAS'!J109</f>
        <v>0</v>
      </c>
      <c r="F109" s="34">
        <f>'CUMPLIMIENTO GUARDIAS'!I109</f>
        <v>0</v>
      </c>
      <c r="G109">
        <f>'CUMPLIMIENTO GUARDIAS'!E109</f>
        <v>0</v>
      </c>
      <c r="H109">
        <f>'CUMPLIMIENTO GUARDIAS'!F109</f>
        <v>0</v>
      </c>
      <c r="I109">
        <f>'CUMPLIMIENTO GUARDIAS'!G109</f>
        <v>0</v>
      </c>
      <c r="J109">
        <f>--(C109&lt;=MATCH('DASHBOARD AVANZADO'!$G$3,'DASHBOARD AVANZADO'!$Q$1:$Q$12,0))</f>
        <v>0</v>
      </c>
      <c r="K109">
        <f t="shared" si="1"/>
        <v>0</v>
      </c>
      <c r="L109">
        <v>109</v>
      </c>
    </row>
    <row r="110" spans="1:12" x14ac:dyDescent="0.25">
      <c r="A110" t="s">
        <v>63</v>
      </c>
      <c r="B110" t="s">
        <v>6</v>
      </c>
      <c r="C110">
        <v>1</v>
      </c>
      <c r="D110" t="s">
        <v>38</v>
      </c>
      <c r="E110" t="str">
        <f>'CUMPLIMIENTO GUARDIAS'!J110</f>
        <v>C</v>
      </c>
      <c r="F110" s="34">
        <f>'CUMPLIMIENTO GUARDIAS'!I110</f>
        <v>1</v>
      </c>
      <c r="G110" t="str">
        <f>'CUMPLIMIENTO GUARDIAS'!E110</f>
        <v>C</v>
      </c>
      <c r="H110" t="str">
        <f>'CUMPLIMIENTO GUARDIAS'!F110</f>
        <v>C</v>
      </c>
      <c r="I110" t="str">
        <f>'CUMPLIMIENTO GUARDIAS'!G110</f>
        <v>C</v>
      </c>
      <c r="J110">
        <f>--(C110&lt;=MATCH('DASHBOARD AVANZADO'!$G$3,'DASHBOARD AVANZADO'!$Q$1:$Q$12,0))</f>
        <v>1</v>
      </c>
      <c r="K110">
        <f t="shared" si="1"/>
        <v>1</v>
      </c>
      <c r="L110">
        <v>110</v>
      </c>
    </row>
    <row r="111" spans="1:12" x14ac:dyDescent="0.25">
      <c r="A111" t="s">
        <v>63</v>
      </c>
      <c r="B111" t="s">
        <v>6</v>
      </c>
      <c r="C111">
        <v>1</v>
      </c>
      <c r="D111" t="s">
        <v>39</v>
      </c>
      <c r="E111" t="str">
        <f>'CUMPLIMIENTO GUARDIAS'!J111</f>
        <v>C</v>
      </c>
      <c r="F111" s="34">
        <f>'CUMPLIMIENTO GUARDIAS'!I111</f>
        <v>1</v>
      </c>
      <c r="G111" t="str">
        <f>'CUMPLIMIENTO GUARDIAS'!E111</f>
        <v>C</v>
      </c>
      <c r="H111" t="str">
        <f>'CUMPLIMIENTO GUARDIAS'!F111</f>
        <v>C</v>
      </c>
      <c r="I111" t="str">
        <f>'CUMPLIMIENTO GUARDIAS'!G111</f>
        <v>C</v>
      </c>
      <c r="J111">
        <f>--(C111&lt;=MATCH('DASHBOARD AVANZADO'!$G$3,'DASHBOARD AVANZADO'!$Q$1:$Q$12,0))</f>
        <v>1</v>
      </c>
      <c r="K111">
        <f t="shared" si="1"/>
        <v>1</v>
      </c>
      <c r="L111">
        <v>111</v>
      </c>
    </row>
    <row r="112" spans="1:12" x14ac:dyDescent="0.25">
      <c r="A112" t="s">
        <v>63</v>
      </c>
      <c r="B112" t="s">
        <v>7</v>
      </c>
      <c r="C112">
        <v>2</v>
      </c>
      <c r="D112" t="s">
        <v>40</v>
      </c>
      <c r="E112" t="str">
        <f>'CUMPLIMIENTO GUARDIAS'!J112</f>
        <v>C</v>
      </c>
      <c r="F112" s="34">
        <f>'CUMPLIMIENTO GUARDIAS'!I112</f>
        <v>1</v>
      </c>
      <c r="G112" t="str">
        <f>'CUMPLIMIENTO GUARDIAS'!E112</f>
        <v>C</v>
      </c>
      <c r="H112" t="str">
        <f>'CUMPLIMIENTO GUARDIAS'!F112</f>
        <v>C</v>
      </c>
      <c r="I112" t="str">
        <f>'CUMPLIMIENTO GUARDIAS'!G112</f>
        <v>C</v>
      </c>
      <c r="J112">
        <f>--(C112&lt;=MATCH('DASHBOARD AVANZADO'!$G$3,'DASHBOARD AVANZADO'!$Q$1:$Q$12,0))</f>
        <v>1</v>
      </c>
      <c r="K112">
        <f t="shared" si="1"/>
        <v>1</v>
      </c>
      <c r="L112">
        <v>112</v>
      </c>
    </row>
    <row r="113" spans="1:12" x14ac:dyDescent="0.25">
      <c r="A113" t="s">
        <v>63</v>
      </c>
      <c r="B113" t="s">
        <v>7</v>
      </c>
      <c r="C113">
        <v>2</v>
      </c>
      <c r="D113" t="s">
        <v>20</v>
      </c>
      <c r="E113" t="str">
        <f>'CUMPLIMIENTO GUARDIAS'!J113</f>
        <v>C</v>
      </c>
      <c r="F113" s="34">
        <f>'CUMPLIMIENTO GUARDIAS'!I113</f>
        <v>1</v>
      </c>
      <c r="G113" t="str">
        <f>'CUMPLIMIENTO GUARDIAS'!E113</f>
        <v>C</v>
      </c>
      <c r="H113" t="str">
        <f>'CUMPLIMIENTO GUARDIAS'!F113</f>
        <v>C</v>
      </c>
      <c r="I113" t="str">
        <f>'CUMPLIMIENTO GUARDIAS'!G113</f>
        <v>C</v>
      </c>
      <c r="J113">
        <f>--(C113&lt;=MATCH('DASHBOARD AVANZADO'!$G$3,'DASHBOARD AVANZADO'!$Q$1:$Q$12,0))</f>
        <v>1</v>
      </c>
      <c r="K113">
        <f t="shared" si="1"/>
        <v>1</v>
      </c>
      <c r="L113">
        <v>113</v>
      </c>
    </row>
    <row r="114" spans="1:12" x14ac:dyDescent="0.25">
      <c r="A114" t="s">
        <v>63</v>
      </c>
      <c r="B114" t="s">
        <v>8</v>
      </c>
      <c r="C114">
        <v>3</v>
      </c>
      <c r="D114" t="s">
        <v>41</v>
      </c>
      <c r="E114" t="str">
        <f>'CUMPLIMIENTO GUARDIAS'!J114</f>
        <v>C</v>
      </c>
      <c r="F114" s="34">
        <f>'CUMPLIMIENTO GUARDIAS'!I114</f>
        <v>1</v>
      </c>
      <c r="G114" t="str">
        <f>'CUMPLIMIENTO GUARDIAS'!E114</f>
        <v>C</v>
      </c>
      <c r="H114" t="str">
        <f>'CUMPLIMIENTO GUARDIAS'!F114</f>
        <v>C</v>
      </c>
      <c r="I114" t="str">
        <f>'CUMPLIMIENTO GUARDIAS'!G114</f>
        <v>C</v>
      </c>
      <c r="J114">
        <f>--(C114&lt;=MATCH('DASHBOARD AVANZADO'!$G$3,'DASHBOARD AVANZADO'!$Q$1:$Q$12,0))</f>
        <v>1</v>
      </c>
      <c r="K114">
        <f t="shared" si="1"/>
        <v>1</v>
      </c>
      <c r="L114">
        <v>114</v>
      </c>
    </row>
    <row r="115" spans="1:12" x14ac:dyDescent="0.25">
      <c r="A115" t="s">
        <v>63</v>
      </c>
      <c r="B115" t="s">
        <v>8</v>
      </c>
      <c r="C115">
        <v>3</v>
      </c>
      <c r="D115" t="s">
        <v>42</v>
      </c>
      <c r="E115" t="str">
        <f>'CUMPLIMIENTO GUARDIAS'!J115</f>
        <v>C</v>
      </c>
      <c r="F115" s="34">
        <f>'CUMPLIMIENTO GUARDIAS'!I115</f>
        <v>1</v>
      </c>
      <c r="G115" t="str">
        <f>'CUMPLIMIENTO GUARDIAS'!E115</f>
        <v>C</v>
      </c>
      <c r="H115" t="str">
        <f>'CUMPLIMIENTO GUARDIAS'!F115</f>
        <v>C</v>
      </c>
      <c r="I115" t="str">
        <f>'CUMPLIMIENTO GUARDIAS'!G115</f>
        <v>C</v>
      </c>
      <c r="J115">
        <f>--(C115&lt;=MATCH('DASHBOARD AVANZADO'!$G$3,'DASHBOARD AVANZADO'!$Q$1:$Q$12,0))</f>
        <v>1</v>
      </c>
      <c r="K115">
        <f t="shared" si="1"/>
        <v>1</v>
      </c>
      <c r="L115">
        <v>115</v>
      </c>
    </row>
    <row r="116" spans="1:12" x14ac:dyDescent="0.25">
      <c r="A116" t="s">
        <v>63</v>
      </c>
      <c r="B116" t="s">
        <v>9</v>
      </c>
      <c r="C116">
        <v>4</v>
      </c>
      <c r="D116" t="s">
        <v>43</v>
      </c>
      <c r="E116" t="str">
        <f>'CUMPLIMIENTO GUARDIAS'!J116</f>
        <v>C</v>
      </c>
      <c r="F116" s="34">
        <f>'CUMPLIMIENTO GUARDIAS'!I116</f>
        <v>1</v>
      </c>
      <c r="G116" t="str">
        <f>'CUMPLIMIENTO GUARDIAS'!E116</f>
        <v>C</v>
      </c>
      <c r="H116" t="str">
        <f>'CUMPLIMIENTO GUARDIAS'!F116</f>
        <v>C</v>
      </c>
      <c r="I116" t="str">
        <f>'CUMPLIMIENTO GUARDIAS'!G116</f>
        <v>C</v>
      </c>
      <c r="J116">
        <f>--(C116&lt;=MATCH('DASHBOARD AVANZADO'!$G$3,'DASHBOARD AVANZADO'!$Q$1:$Q$12,0))</f>
        <v>1</v>
      </c>
      <c r="K116">
        <f t="shared" si="1"/>
        <v>1</v>
      </c>
      <c r="L116">
        <v>116</v>
      </c>
    </row>
    <row r="117" spans="1:12" x14ac:dyDescent="0.25">
      <c r="A117" t="s">
        <v>63</v>
      </c>
      <c r="B117" t="s">
        <v>9</v>
      </c>
      <c r="C117">
        <v>4</v>
      </c>
      <c r="D117" t="s">
        <v>44</v>
      </c>
      <c r="E117" t="str">
        <f>'CUMPLIMIENTO GUARDIAS'!J117</f>
        <v>C</v>
      </c>
      <c r="F117" s="34">
        <f>'CUMPLIMIENTO GUARDIAS'!I117</f>
        <v>1</v>
      </c>
      <c r="G117" t="str">
        <f>'CUMPLIMIENTO GUARDIAS'!E117</f>
        <v>C</v>
      </c>
      <c r="H117" t="str">
        <f>'CUMPLIMIENTO GUARDIAS'!F117</f>
        <v>C</v>
      </c>
      <c r="I117" t="str">
        <f>'CUMPLIMIENTO GUARDIAS'!G117</f>
        <v>C</v>
      </c>
      <c r="J117">
        <f>--(C117&lt;=MATCH('DASHBOARD AVANZADO'!$G$3,'DASHBOARD AVANZADO'!$Q$1:$Q$12,0))</f>
        <v>1</v>
      </c>
      <c r="K117">
        <f t="shared" si="1"/>
        <v>1</v>
      </c>
      <c r="L117">
        <v>117</v>
      </c>
    </row>
    <row r="118" spans="1:12" x14ac:dyDescent="0.25">
      <c r="A118" t="s">
        <v>63</v>
      </c>
      <c r="B118" t="s">
        <v>9</v>
      </c>
      <c r="C118">
        <v>4</v>
      </c>
      <c r="D118" t="s">
        <v>45</v>
      </c>
      <c r="E118" t="str">
        <f>'CUMPLIMIENTO GUARDIAS'!J118</f>
        <v>C</v>
      </c>
      <c r="F118" s="34">
        <f>'CUMPLIMIENTO GUARDIAS'!I118</f>
        <v>1</v>
      </c>
      <c r="G118" t="str">
        <f>'CUMPLIMIENTO GUARDIAS'!E118</f>
        <v>C</v>
      </c>
      <c r="H118" t="str">
        <f>'CUMPLIMIENTO GUARDIAS'!F118</f>
        <v>C</v>
      </c>
      <c r="I118" t="str">
        <f>'CUMPLIMIENTO GUARDIAS'!G118</f>
        <v>C</v>
      </c>
      <c r="J118">
        <f>--(C118&lt;=MATCH('DASHBOARD AVANZADO'!$G$3,'DASHBOARD AVANZADO'!$Q$1:$Q$12,0))</f>
        <v>1</v>
      </c>
      <c r="K118">
        <f t="shared" si="1"/>
        <v>1</v>
      </c>
      <c r="L118">
        <v>118</v>
      </c>
    </row>
    <row r="119" spans="1:12" x14ac:dyDescent="0.25">
      <c r="A119" t="s">
        <v>63</v>
      </c>
      <c r="B119" t="s">
        <v>10</v>
      </c>
      <c r="C119">
        <v>5</v>
      </c>
      <c r="D119" t="s">
        <v>46</v>
      </c>
      <c r="E119" t="str">
        <f>'CUMPLIMIENTO GUARDIAS'!J119</f>
        <v>C</v>
      </c>
      <c r="F119" s="34">
        <f>'CUMPLIMIENTO GUARDIAS'!I119</f>
        <v>1</v>
      </c>
      <c r="G119" t="str">
        <f>'CUMPLIMIENTO GUARDIAS'!E119</f>
        <v>C</v>
      </c>
      <c r="H119" t="str">
        <f>'CUMPLIMIENTO GUARDIAS'!F119</f>
        <v>C</v>
      </c>
      <c r="I119" t="str">
        <f>'CUMPLIMIENTO GUARDIAS'!G119</f>
        <v>C</v>
      </c>
      <c r="J119">
        <f>--(C119&lt;=MATCH('DASHBOARD AVANZADO'!$G$3,'DASHBOARD AVANZADO'!$Q$1:$Q$12,0))</f>
        <v>1</v>
      </c>
      <c r="K119">
        <f t="shared" si="1"/>
        <v>1</v>
      </c>
      <c r="L119">
        <v>119</v>
      </c>
    </row>
    <row r="120" spans="1:12" x14ac:dyDescent="0.25">
      <c r="A120" t="s">
        <v>63</v>
      </c>
      <c r="B120" t="s">
        <v>10</v>
      </c>
      <c r="C120">
        <v>5</v>
      </c>
      <c r="D120" t="s">
        <v>47</v>
      </c>
      <c r="E120" t="str">
        <f>'CUMPLIMIENTO GUARDIAS'!J120</f>
        <v>C</v>
      </c>
      <c r="F120" s="34">
        <f>'CUMPLIMIENTO GUARDIAS'!I120</f>
        <v>1</v>
      </c>
      <c r="G120" t="str">
        <f>'CUMPLIMIENTO GUARDIAS'!E120</f>
        <v>C</v>
      </c>
      <c r="H120" t="str">
        <f>'CUMPLIMIENTO GUARDIAS'!F120</f>
        <v>C</v>
      </c>
      <c r="I120" t="str">
        <f>'CUMPLIMIENTO GUARDIAS'!G120</f>
        <v>C</v>
      </c>
      <c r="J120">
        <f>--(C120&lt;=MATCH('DASHBOARD AVANZADO'!$G$3,'DASHBOARD AVANZADO'!$Q$1:$Q$12,0))</f>
        <v>1</v>
      </c>
      <c r="K120">
        <f t="shared" si="1"/>
        <v>1</v>
      </c>
      <c r="L120">
        <v>120</v>
      </c>
    </row>
    <row r="121" spans="1:12" x14ac:dyDescent="0.25">
      <c r="A121" t="s">
        <v>63</v>
      </c>
      <c r="B121" t="s">
        <v>11</v>
      </c>
      <c r="C121">
        <v>6</v>
      </c>
      <c r="D121" t="s">
        <v>20</v>
      </c>
      <c r="E121" t="str">
        <f>'CUMPLIMIENTO GUARDIAS'!J121</f>
        <v>C</v>
      </c>
      <c r="F121" s="34">
        <f>'CUMPLIMIENTO GUARDIAS'!I121</f>
        <v>1</v>
      </c>
      <c r="G121" t="str">
        <f>'CUMPLIMIENTO GUARDIAS'!E121</f>
        <v>C</v>
      </c>
      <c r="H121" t="str">
        <f>'CUMPLIMIENTO GUARDIAS'!F121</f>
        <v>C</v>
      </c>
      <c r="I121" t="str">
        <f>'CUMPLIMIENTO GUARDIAS'!G121</f>
        <v>C</v>
      </c>
      <c r="J121">
        <f>--(C121&lt;=MATCH('DASHBOARD AVANZADO'!$G$3,'DASHBOARD AVANZADO'!$Q$1:$Q$12,0))</f>
        <v>1</v>
      </c>
      <c r="K121">
        <f t="shared" si="1"/>
        <v>1</v>
      </c>
      <c r="L121">
        <v>121</v>
      </c>
    </row>
    <row r="122" spans="1:12" x14ac:dyDescent="0.25">
      <c r="A122" t="s">
        <v>63</v>
      </c>
      <c r="B122" t="s">
        <v>11</v>
      </c>
      <c r="C122">
        <v>6</v>
      </c>
      <c r="D122" t="s">
        <v>48</v>
      </c>
      <c r="E122" t="str">
        <f>'CUMPLIMIENTO GUARDIAS'!J122</f>
        <v>C</v>
      </c>
      <c r="F122" s="34">
        <f>'CUMPLIMIENTO GUARDIAS'!I122</f>
        <v>1</v>
      </c>
      <c r="G122" t="str">
        <f>'CUMPLIMIENTO GUARDIAS'!E122</f>
        <v>C</v>
      </c>
      <c r="H122" t="str">
        <f>'CUMPLIMIENTO GUARDIAS'!F122</f>
        <v>C</v>
      </c>
      <c r="I122" t="str">
        <f>'CUMPLIMIENTO GUARDIAS'!G122</f>
        <v>C</v>
      </c>
      <c r="J122">
        <f>--(C122&lt;=MATCH('DASHBOARD AVANZADO'!$G$3,'DASHBOARD AVANZADO'!$Q$1:$Q$12,0))</f>
        <v>1</v>
      </c>
      <c r="K122">
        <f t="shared" si="1"/>
        <v>1</v>
      </c>
      <c r="L122">
        <v>122</v>
      </c>
    </row>
    <row r="123" spans="1:12" x14ac:dyDescent="0.25">
      <c r="A123" t="s">
        <v>63</v>
      </c>
      <c r="B123" t="s">
        <v>11</v>
      </c>
      <c r="C123">
        <v>6</v>
      </c>
      <c r="D123" t="s">
        <v>49</v>
      </c>
      <c r="E123" t="str">
        <f>'CUMPLIMIENTO GUARDIAS'!J123</f>
        <v>F</v>
      </c>
      <c r="F123" s="34">
        <f>'CUMPLIMIENTO GUARDIAS'!I123</f>
        <v>0</v>
      </c>
      <c r="G123" t="str">
        <f>'CUMPLIMIENTO GUARDIAS'!E123</f>
        <v>F</v>
      </c>
      <c r="H123" t="str">
        <f>'CUMPLIMIENTO GUARDIAS'!F123</f>
        <v>F</v>
      </c>
      <c r="I123" t="str">
        <f>'CUMPLIMIENTO GUARDIAS'!G123</f>
        <v>F</v>
      </c>
      <c r="J123">
        <f>--(C123&lt;=MATCH('DASHBOARD AVANZADO'!$G$3,'DASHBOARD AVANZADO'!$Q$1:$Q$12,0))</f>
        <v>1</v>
      </c>
      <c r="K123">
        <f t="shared" si="1"/>
        <v>0</v>
      </c>
      <c r="L123">
        <v>123</v>
      </c>
    </row>
    <row r="124" spans="1:12" x14ac:dyDescent="0.25">
      <c r="A124" t="s">
        <v>63</v>
      </c>
      <c r="B124" t="s">
        <v>12</v>
      </c>
      <c r="C124">
        <v>7</v>
      </c>
      <c r="D124" t="s">
        <v>38</v>
      </c>
      <c r="E124" t="str">
        <f>'CUMPLIMIENTO GUARDIAS'!J124</f>
        <v>C</v>
      </c>
      <c r="F124" s="34">
        <f>'CUMPLIMIENTO GUARDIAS'!I124</f>
        <v>1</v>
      </c>
      <c r="G124" t="str">
        <f>'CUMPLIMIENTO GUARDIAS'!E124</f>
        <v>C</v>
      </c>
      <c r="H124" t="str">
        <f>'CUMPLIMIENTO GUARDIAS'!F124</f>
        <v>C</v>
      </c>
      <c r="I124" t="str">
        <f>'CUMPLIMIENTO GUARDIAS'!G124</f>
        <v>C</v>
      </c>
      <c r="J124">
        <f>--(C124&lt;=MATCH('DASHBOARD AVANZADO'!$G$3,'DASHBOARD AVANZADO'!$Q$1:$Q$12,0))</f>
        <v>1</v>
      </c>
      <c r="K124">
        <f t="shared" si="1"/>
        <v>1</v>
      </c>
      <c r="L124">
        <v>124</v>
      </c>
    </row>
    <row r="125" spans="1:12" x14ac:dyDescent="0.25">
      <c r="A125" t="s">
        <v>63</v>
      </c>
      <c r="B125" t="s">
        <v>12</v>
      </c>
      <c r="C125">
        <v>7</v>
      </c>
      <c r="D125" t="s">
        <v>87</v>
      </c>
      <c r="E125" t="str">
        <f>'CUMPLIMIENTO GUARDIAS'!J125</f>
        <v>F</v>
      </c>
      <c r="F125" s="34">
        <f>'CUMPLIMIENTO GUARDIAS'!I125</f>
        <v>0</v>
      </c>
      <c r="G125">
        <f>'CUMPLIMIENTO GUARDIAS'!E125</f>
        <v>0</v>
      </c>
      <c r="H125">
        <f>'CUMPLIMIENTO GUARDIAS'!F125</f>
        <v>0</v>
      </c>
      <c r="I125">
        <f>'CUMPLIMIENTO GUARDIAS'!G125</f>
        <v>0</v>
      </c>
      <c r="J125">
        <f>--(C125&lt;=MATCH('DASHBOARD AVANZADO'!$G$3,'DASHBOARD AVANZADO'!$Q$1:$Q$12,0))</f>
        <v>1</v>
      </c>
      <c r="K125">
        <f t="shared" si="1"/>
        <v>0</v>
      </c>
      <c r="L125">
        <v>125</v>
      </c>
    </row>
    <row r="126" spans="1:12" x14ac:dyDescent="0.25">
      <c r="A126" t="s">
        <v>63</v>
      </c>
      <c r="B126" t="s">
        <v>12</v>
      </c>
      <c r="C126">
        <v>7</v>
      </c>
      <c r="D126" t="s">
        <v>51</v>
      </c>
      <c r="E126" t="str">
        <f>'CUMPLIMIENTO GUARDIAS'!J126</f>
        <v>EP</v>
      </c>
      <c r="F126" s="34">
        <f>'CUMPLIMIENTO GUARDIAS'!I126</f>
        <v>0</v>
      </c>
      <c r="G126" t="str">
        <f>'CUMPLIMIENTO GUARDIAS'!E126</f>
        <v>EP</v>
      </c>
      <c r="H126" t="str">
        <f>'CUMPLIMIENTO GUARDIAS'!F126</f>
        <v>EP</v>
      </c>
      <c r="I126" t="str">
        <f>'CUMPLIMIENTO GUARDIAS'!G126</f>
        <v>EP</v>
      </c>
      <c r="J126">
        <f>--(C126&lt;=MATCH('DASHBOARD AVANZADO'!$G$3,'DASHBOARD AVANZADO'!$Q$1:$Q$12,0))</f>
        <v>1</v>
      </c>
      <c r="K126">
        <f t="shared" si="1"/>
        <v>0</v>
      </c>
      <c r="L126">
        <v>126</v>
      </c>
    </row>
    <row r="127" spans="1:12" x14ac:dyDescent="0.25">
      <c r="A127" t="s">
        <v>63</v>
      </c>
      <c r="B127" t="s">
        <v>13</v>
      </c>
      <c r="C127">
        <v>8</v>
      </c>
      <c r="D127" t="s">
        <v>52</v>
      </c>
      <c r="E127">
        <f>'CUMPLIMIENTO GUARDIAS'!J127</f>
        <v>0</v>
      </c>
      <c r="F127" s="34">
        <f>'CUMPLIMIENTO GUARDIAS'!I127</f>
        <v>0</v>
      </c>
      <c r="G127">
        <f>'CUMPLIMIENTO GUARDIAS'!E127</f>
        <v>0</v>
      </c>
      <c r="H127">
        <f>'CUMPLIMIENTO GUARDIAS'!F127</f>
        <v>0</v>
      </c>
      <c r="I127">
        <f>'CUMPLIMIENTO GUARDIAS'!G127</f>
        <v>0</v>
      </c>
      <c r="J127">
        <f>--(C127&lt;=MATCH('DASHBOARD AVANZADO'!$G$3,'DASHBOARD AVANZADO'!$Q$1:$Q$12,0))</f>
        <v>0</v>
      </c>
      <c r="K127">
        <f t="shared" si="1"/>
        <v>0</v>
      </c>
      <c r="L127">
        <v>127</v>
      </c>
    </row>
    <row r="128" spans="1:12" x14ac:dyDescent="0.25">
      <c r="A128" t="s">
        <v>63</v>
      </c>
      <c r="B128" t="s">
        <v>13</v>
      </c>
      <c r="C128">
        <v>8</v>
      </c>
      <c r="D128" t="s">
        <v>53</v>
      </c>
      <c r="E128">
        <f>'CUMPLIMIENTO GUARDIAS'!J128</f>
        <v>0</v>
      </c>
      <c r="F128" s="34">
        <f>'CUMPLIMIENTO GUARDIAS'!I128</f>
        <v>0</v>
      </c>
      <c r="G128">
        <f>'CUMPLIMIENTO GUARDIAS'!E128</f>
        <v>0</v>
      </c>
      <c r="H128">
        <f>'CUMPLIMIENTO GUARDIAS'!F128</f>
        <v>0</v>
      </c>
      <c r="I128">
        <f>'CUMPLIMIENTO GUARDIAS'!G128</f>
        <v>0</v>
      </c>
      <c r="J128">
        <f>--(C128&lt;=MATCH('DASHBOARD AVANZADO'!$G$3,'DASHBOARD AVANZADO'!$Q$1:$Q$12,0))</f>
        <v>0</v>
      </c>
      <c r="K128">
        <f t="shared" si="1"/>
        <v>0</v>
      </c>
      <c r="L128">
        <v>128</v>
      </c>
    </row>
    <row r="129" spans="1:12" x14ac:dyDescent="0.25">
      <c r="A129" t="s">
        <v>63</v>
      </c>
      <c r="B129" t="s">
        <v>13</v>
      </c>
      <c r="C129">
        <v>8</v>
      </c>
      <c r="D129" t="s">
        <v>54</v>
      </c>
      <c r="E129">
        <f>'CUMPLIMIENTO GUARDIAS'!J129</f>
        <v>0</v>
      </c>
      <c r="F129" s="34">
        <f>'CUMPLIMIENTO GUARDIAS'!I129</f>
        <v>0</v>
      </c>
      <c r="G129">
        <f>'CUMPLIMIENTO GUARDIAS'!E129</f>
        <v>0</v>
      </c>
      <c r="H129">
        <f>'CUMPLIMIENTO GUARDIAS'!F129</f>
        <v>0</v>
      </c>
      <c r="I129">
        <f>'CUMPLIMIENTO GUARDIAS'!G129</f>
        <v>0</v>
      </c>
      <c r="J129">
        <f>--(C129&lt;=MATCH('DASHBOARD AVANZADO'!$G$3,'DASHBOARD AVANZADO'!$Q$1:$Q$12,0))</f>
        <v>0</v>
      </c>
      <c r="K129">
        <f t="shared" si="1"/>
        <v>0</v>
      </c>
      <c r="L129">
        <v>129</v>
      </c>
    </row>
    <row r="130" spans="1:12" x14ac:dyDescent="0.25">
      <c r="A130" t="s">
        <v>63</v>
      </c>
      <c r="B130" t="s">
        <v>14</v>
      </c>
      <c r="C130">
        <v>9</v>
      </c>
      <c r="D130" t="s">
        <v>55</v>
      </c>
      <c r="E130">
        <f>'CUMPLIMIENTO GUARDIAS'!J130</f>
        <v>0</v>
      </c>
      <c r="F130" s="34">
        <f>'CUMPLIMIENTO GUARDIAS'!I130</f>
        <v>0</v>
      </c>
      <c r="G130">
        <f>'CUMPLIMIENTO GUARDIAS'!E130</f>
        <v>0</v>
      </c>
      <c r="H130">
        <f>'CUMPLIMIENTO GUARDIAS'!F130</f>
        <v>0</v>
      </c>
      <c r="I130">
        <f>'CUMPLIMIENTO GUARDIAS'!G130</f>
        <v>0</v>
      </c>
      <c r="J130">
        <f>--(C130&lt;=MATCH('DASHBOARD AVANZADO'!$G$3,'DASHBOARD AVANZADO'!$Q$1:$Q$12,0))</f>
        <v>0</v>
      </c>
      <c r="K130">
        <f t="shared" ref="K130:K193" si="2">IF(E130="C",1,0)</f>
        <v>0</v>
      </c>
      <c r="L130">
        <v>130</v>
      </c>
    </row>
    <row r="131" spans="1:12" x14ac:dyDescent="0.25">
      <c r="A131" t="s">
        <v>63</v>
      </c>
      <c r="B131" t="s">
        <v>14</v>
      </c>
      <c r="C131">
        <v>9</v>
      </c>
      <c r="D131" t="s">
        <v>56</v>
      </c>
      <c r="E131">
        <f>'CUMPLIMIENTO GUARDIAS'!J131</f>
        <v>0</v>
      </c>
      <c r="F131" s="34">
        <f>'CUMPLIMIENTO GUARDIAS'!I131</f>
        <v>0</v>
      </c>
      <c r="G131">
        <f>'CUMPLIMIENTO GUARDIAS'!E131</f>
        <v>0</v>
      </c>
      <c r="H131">
        <f>'CUMPLIMIENTO GUARDIAS'!F131</f>
        <v>0</v>
      </c>
      <c r="I131">
        <f>'CUMPLIMIENTO GUARDIAS'!G131</f>
        <v>0</v>
      </c>
      <c r="J131">
        <f>--(C131&lt;=MATCH('DASHBOARD AVANZADO'!$G$3,'DASHBOARD AVANZADO'!$Q$1:$Q$12,0))</f>
        <v>0</v>
      </c>
      <c r="K131">
        <f t="shared" si="2"/>
        <v>0</v>
      </c>
      <c r="L131">
        <v>131</v>
      </c>
    </row>
    <row r="132" spans="1:12" x14ac:dyDescent="0.25">
      <c r="A132" t="s">
        <v>63</v>
      </c>
      <c r="B132" t="s">
        <v>15</v>
      </c>
      <c r="C132">
        <v>10</v>
      </c>
      <c r="D132" t="s">
        <v>20</v>
      </c>
      <c r="E132">
        <f>'CUMPLIMIENTO GUARDIAS'!J132</f>
        <v>0</v>
      </c>
      <c r="F132" s="34">
        <f>'CUMPLIMIENTO GUARDIAS'!I132</f>
        <v>0</v>
      </c>
      <c r="G132">
        <f>'CUMPLIMIENTO GUARDIAS'!E132</f>
        <v>0</v>
      </c>
      <c r="H132">
        <f>'CUMPLIMIENTO GUARDIAS'!F132</f>
        <v>0</v>
      </c>
      <c r="I132">
        <f>'CUMPLIMIENTO GUARDIAS'!G132</f>
        <v>0</v>
      </c>
      <c r="J132">
        <f>--(C132&lt;=MATCH('DASHBOARD AVANZADO'!$G$3,'DASHBOARD AVANZADO'!$Q$1:$Q$12,0))</f>
        <v>0</v>
      </c>
      <c r="K132">
        <f t="shared" si="2"/>
        <v>0</v>
      </c>
      <c r="L132">
        <v>132</v>
      </c>
    </row>
    <row r="133" spans="1:12" x14ac:dyDescent="0.25">
      <c r="A133" t="s">
        <v>63</v>
      </c>
      <c r="B133" t="s">
        <v>15</v>
      </c>
      <c r="C133">
        <v>10</v>
      </c>
      <c r="D133" t="s">
        <v>42</v>
      </c>
      <c r="E133">
        <f>'CUMPLIMIENTO GUARDIAS'!J133</f>
        <v>0</v>
      </c>
      <c r="F133" s="34">
        <f>'CUMPLIMIENTO GUARDIAS'!I133</f>
        <v>0</v>
      </c>
      <c r="G133">
        <f>'CUMPLIMIENTO GUARDIAS'!E133</f>
        <v>0</v>
      </c>
      <c r="H133">
        <f>'CUMPLIMIENTO GUARDIAS'!F133</f>
        <v>0</v>
      </c>
      <c r="I133">
        <f>'CUMPLIMIENTO GUARDIAS'!G133</f>
        <v>0</v>
      </c>
      <c r="J133">
        <f>--(C133&lt;=MATCH('DASHBOARD AVANZADO'!$G$3,'DASHBOARD AVANZADO'!$Q$1:$Q$12,0))</f>
        <v>0</v>
      </c>
      <c r="K133">
        <f t="shared" si="2"/>
        <v>0</v>
      </c>
      <c r="L133">
        <v>133</v>
      </c>
    </row>
    <row r="134" spans="1:12" x14ac:dyDescent="0.25">
      <c r="A134" t="s">
        <v>63</v>
      </c>
      <c r="B134" t="s">
        <v>16</v>
      </c>
      <c r="C134">
        <v>11</v>
      </c>
      <c r="D134" t="s">
        <v>57</v>
      </c>
      <c r="E134">
        <f>'CUMPLIMIENTO GUARDIAS'!J134</f>
        <v>0</v>
      </c>
      <c r="F134" s="34">
        <f>'CUMPLIMIENTO GUARDIAS'!I134</f>
        <v>0</v>
      </c>
      <c r="G134">
        <f>'CUMPLIMIENTO GUARDIAS'!E134</f>
        <v>0</v>
      </c>
      <c r="H134">
        <f>'CUMPLIMIENTO GUARDIAS'!F134</f>
        <v>0</v>
      </c>
      <c r="I134">
        <f>'CUMPLIMIENTO GUARDIAS'!G134</f>
        <v>0</v>
      </c>
      <c r="J134">
        <f>--(C134&lt;=MATCH('DASHBOARD AVANZADO'!$G$3,'DASHBOARD AVANZADO'!$Q$1:$Q$12,0))</f>
        <v>0</v>
      </c>
      <c r="K134">
        <f t="shared" si="2"/>
        <v>0</v>
      </c>
      <c r="L134">
        <v>134</v>
      </c>
    </row>
    <row r="135" spans="1:12" x14ac:dyDescent="0.25">
      <c r="A135" t="s">
        <v>63</v>
      </c>
      <c r="B135" t="s">
        <v>16</v>
      </c>
      <c r="C135">
        <v>11</v>
      </c>
      <c r="D135" t="s">
        <v>39</v>
      </c>
      <c r="E135">
        <f>'CUMPLIMIENTO GUARDIAS'!J135</f>
        <v>0</v>
      </c>
      <c r="F135" s="34">
        <f>'CUMPLIMIENTO GUARDIAS'!I135</f>
        <v>0</v>
      </c>
      <c r="G135">
        <f>'CUMPLIMIENTO GUARDIAS'!E135</f>
        <v>0</v>
      </c>
      <c r="H135">
        <f>'CUMPLIMIENTO GUARDIAS'!F135</f>
        <v>0</v>
      </c>
      <c r="I135">
        <f>'CUMPLIMIENTO GUARDIAS'!G135</f>
        <v>0</v>
      </c>
      <c r="J135">
        <f>--(C135&lt;=MATCH('DASHBOARD AVANZADO'!$G$3,'DASHBOARD AVANZADO'!$Q$1:$Q$12,0))</f>
        <v>0</v>
      </c>
      <c r="K135">
        <f t="shared" si="2"/>
        <v>0</v>
      </c>
      <c r="L135">
        <v>135</v>
      </c>
    </row>
    <row r="136" spans="1:12" x14ac:dyDescent="0.25">
      <c r="A136" t="s">
        <v>63</v>
      </c>
      <c r="B136" t="s">
        <v>17</v>
      </c>
      <c r="C136">
        <v>12</v>
      </c>
      <c r="D136" t="s">
        <v>38</v>
      </c>
      <c r="E136">
        <f>'CUMPLIMIENTO GUARDIAS'!J136</f>
        <v>0</v>
      </c>
      <c r="F136" s="34">
        <f>'CUMPLIMIENTO GUARDIAS'!I136</f>
        <v>0</v>
      </c>
      <c r="G136">
        <f>'CUMPLIMIENTO GUARDIAS'!E136</f>
        <v>0</v>
      </c>
      <c r="H136">
        <f>'CUMPLIMIENTO GUARDIAS'!F136</f>
        <v>0</v>
      </c>
      <c r="I136">
        <f>'CUMPLIMIENTO GUARDIAS'!G136</f>
        <v>0</v>
      </c>
      <c r="J136">
        <f>--(C136&lt;=MATCH('DASHBOARD AVANZADO'!$G$3,'DASHBOARD AVANZADO'!$Q$1:$Q$12,0))</f>
        <v>0</v>
      </c>
      <c r="K136">
        <f t="shared" si="2"/>
        <v>0</v>
      </c>
      <c r="L136">
        <v>136</v>
      </c>
    </row>
    <row r="137" spans="1:12" x14ac:dyDescent="0.25">
      <c r="A137" t="s">
        <v>64</v>
      </c>
      <c r="B137" t="s">
        <v>6</v>
      </c>
      <c r="C137">
        <v>1</v>
      </c>
      <c r="D137" t="s">
        <v>38</v>
      </c>
      <c r="E137" t="str">
        <f>'CUMPLIMIENTO GUARDIAS'!J137</f>
        <v>C</v>
      </c>
      <c r="F137" s="34">
        <f>'CUMPLIMIENTO GUARDIAS'!I137</f>
        <v>1</v>
      </c>
      <c r="G137" t="str">
        <f>'CUMPLIMIENTO GUARDIAS'!E137</f>
        <v>C</v>
      </c>
      <c r="H137" t="str">
        <f>'CUMPLIMIENTO GUARDIAS'!F137</f>
        <v>C</v>
      </c>
      <c r="I137" t="str">
        <f>'CUMPLIMIENTO GUARDIAS'!G137</f>
        <v>C</v>
      </c>
      <c r="J137">
        <f>--(C137&lt;=MATCH('DASHBOARD AVANZADO'!$G$3,'DASHBOARD AVANZADO'!$Q$1:$Q$12,0))</f>
        <v>1</v>
      </c>
      <c r="K137">
        <f t="shared" si="2"/>
        <v>1</v>
      </c>
      <c r="L137">
        <v>137</v>
      </c>
    </row>
    <row r="138" spans="1:12" x14ac:dyDescent="0.25">
      <c r="A138" t="s">
        <v>64</v>
      </c>
      <c r="B138" t="s">
        <v>6</v>
      </c>
      <c r="C138">
        <v>1</v>
      </c>
      <c r="D138" t="s">
        <v>39</v>
      </c>
      <c r="E138" t="str">
        <f>'CUMPLIMIENTO GUARDIAS'!J138</f>
        <v>C</v>
      </c>
      <c r="F138" s="34">
        <f>'CUMPLIMIENTO GUARDIAS'!I138</f>
        <v>1</v>
      </c>
      <c r="G138" t="str">
        <f>'CUMPLIMIENTO GUARDIAS'!E138</f>
        <v>C</v>
      </c>
      <c r="H138" t="str">
        <f>'CUMPLIMIENTO GUARDIAS'!F138</f>
        <v>C</v>
      </c>
      <c r="I138" t="str">
        <f>'CUMPLIMIENTO GUARDIAS'!G138</f>
        <v>C</v>
      </c>
      <c r="J138">
        <f>--(C138&lt;=MATCH('DASHBOARD AVANZADO'!$G$3,'DASHBOARD AVANZADO'!$Q$1:$Q$12,0))</f>
        <v>1</v>
      </c>
      <c r="K138">
        <f t="shared" si="2"/>
        <v>1</v>
      </c>
      <c r="L138">
        <v>138</v>
      </c>
    </row>
    <row r="139" spans="1:12" x14ac:dyDescent="0.25">
      <c r="A139" t="s">
        <v>64</v>
      </c>
      <c r="B139" t="s">
        <v>7</v>
      </c>
      <c r="C139">
        <v>2</v>
      </c>
      <c r="D139" t="s">
        <v>40</v>
      </c>
      <c r="E139" t="str">
        <f>'CUMPLIMIENTO GUARDIAS'!J139</f>
        <v>C</v>
      </c>
      <c r="F139" s="34">
        <f>'CUMPLIMIENTO GUARDIAS'!I139</f>
        <v>1</v>
      </c>
      <c r="G139" t="str">
        <f>'CUMPLIMIENTO GUARDIAS'!E139</f>
        <v>C</v>
      </c>
      <c r="H139" t="str">
        <f>'CUMPLIMIENTO GUARDIAS'!F139</f>
        <v>C</v>
      </c>
      <c r="I139" t="str">
        <f>'CUMPLIMIENTO GUARDIAS'!G139</f>
        <v>C</v>
      </c>
      <c r="J139">
        <f>--(C139&lt;=MATCH('DASHBOARD AVANZADO'!$G$3,'DASHBOARD AVANZADO'!$Q$1:$Q$12,0))</f>
        <v>1</v>
      </c>
      <c r="K139">
        <f t="shared" si="2"/>
        <v>1</v>
      </c>
      <c r="L139">
        <v>139</v>
      </c>
    </row>
    <row r="140" spans="1:12" x14ac:dyDescent="0.25">
      <c r="A140" t="s">
        <v>64</v>
      </c>
      <c r="B140" t="s">
        <v>7</v>
      </c>
      <c r="C140">
        <v>2</v>
      </c>
      <c r="D140" t="s">
        <v>20</v>
      </c>
      <c r="E140" t="str">
        <f>'CUMPLIMIENTO GUARDIAS'!J140</f>
        <v>C</v>
      </c>
      <c r="F140" s="34">
        <f>'CUMPLIMIENTO GUARDIAS'!I140</f>
        <v>1</v>
      </c>
      <c r="G140" t="str">
        <f>'CUMPLIMIENTO GUARDIAS'!E140</f>
        <v>C</v>
      </c>
      <c r="H140" t="str">
        <f>'CUMPLIMIENTO GUARDIAS'!F140</f>
        <v>C</v>
      </c>
      <c r="I140" t="str">
        <f>'CUMPLIMIENTO GUARDIAS'!G140</f>
        <v>C</v>
      </c>
      <c r="J140">
        <f>--(C140&lt;=MATCH('DASHBOARD AVANZADO'!$G$3,'DASHBOARD AVANZADO'!$Q$1:$Q$12,0))</f>
        <v>1</v>
      </c>
      <c r="K140">
        <f t="shared" si="2"/>
        <v>1</v>
      </c>
      <c r="L140">
        <v>140</v>
      </c>
    </row>
    <row r="141" spans="1:12" x14ac:dyDescent="0.25">
      <c r="A141" t="s">
        <v>64</v>
      </c>
      <c r="B141" t="s">
        <v>8</v>
      </c>
      <c r="C141">
        <v>3</v>
      </c>
      <c r="D141" t="s">
        <v>41</v>
      </c>
      <c r="E141" t="str">
        <f>'CUMPLIMIENTO GUARDIAS'!J141</f>
        <v>C</v>
      </c>
      <c r="F141" s="34">
        <f>'CUMPLIMIENTO GUARDIAS'!I141</f>
        <v>1</v>
      </c>
      <c r="G141" t="str">
        <f>'CUMPLIMIENTO GUARDIAS'!E141</f>
        <v>C</v>
      </c>
      <c r="H141" t="str">
        <f>'CUMPLIMIENTO GUARDIAS'!F141</f>
        <v>C</v>
      </c>
      <c r="I141" t="str">
        <f>'CUMPLIMIENTO GUARDIAS'!G141</f>
        <v>C</v>
      </c>
      <c r="J141">
        <f>--(C141&lt;=MATCH('DASHBOARD AVANZADO'!$G$3,'DASHBOARD AVANZADO'!$Q$1:$Q$12,0))</f>
        <v>1</v>
      </c>
      <c r="K141">
        <f t="shared" si="2"/>
        <v>1</v>
      </c>
      <c r="L141">
        <v>141</v>
      </c>
    </row>
    <row r="142" spans="1:12" x14ac:dyDescent="0.25">
      <c r="A142" t="s">
        <v>64</v>
      </c>
      <c r="B142" t="s">
        <v>8</v>
      </c>
      <c r="C142">
        <v>3</v>
      </c>
      <c r="D142" t="s">
        <v>42</v>
      </c>
      <c r="E142" t="str">
        <f>'CUMPLIMIENTO GUARDIAS'!J142</f>
        <v>C</v>
      </c>
      <c r="F142" s="34">
        <f>'CUMPLIMIENTO GUARDIAS'!I142</f>
        <v>1</v>
      </c>
      <c r="G142" t="str">
        <f>'CUMPLIMIENTO GUARDIAS'!E142</f>
        <v>C</v>
      </c>
      <c r="H142" t="str">
        <f>'CUMPLIMIENTO GUARDIAS'!F142</f>
        <v>C</v>
      </c>
      <c r="I142" t="str">
        <f>'CUMPLIMIENTO GUARDIAS'!G142</f>
        <v>C</v>
      </c>
      <c r="J142">
        <f>--(C142&lt;=MATCH('DASHBOARD AVANZADO'!$G$3,'DASHBOARD AVANZADO'!$Q$1:$Q$12,0))</f>
        <v>1</v>
      </c>
      <c r="K142">
        <f t="shared" si="2"/>
        <v>1</v>
      </c>
      <c r="L142">
        <v>142</v>
      </c>
    </row>
    <row r="143" spans="1:12" x14ac:dyDescent="0.25">
      <c r="A143" t="s">
        <v>64</v>
      </c>
      <c r="B143" t="s">
        <v>9</v>
      </c>
      <c r="C143">
        <v>4</v>
      </c>
      <c r="D143" t="s">
        <v>43</v>
      </c>
      <c r="E143" t="str">
        <f>'CUMPLIMIENTO GUARDIAS'!J143</f>
        <v>C</v>
      </c>
      <c r="F143" s="34">
        <f>'CUMPLIMIENTO GUARDIAS'!I143</f>
        <v>1</v>
      </c>
      <c r="G143" t="str">
        <f>'CUMPLIMIENTO GUARDIAS'!E143</f>
        <v>C</v>
      </c>
      <c r="H143" t="str">
        <f>'CUMPLIMIENTO GUARDIAS'!F143</f>
        <v>C</v>
      </c>
      <c r="I143" t="str">
        <f>'CUMPLIMIENTO GUARDIAS'!G143</f>
        <v>C</v>
      </c>
      <c r="J143">
        <f>--(C143&lt;=MATCH('DASHBOARD AVANZADO'!$G$3,'DASHBOARD AVANZADO'!$Q$1:$Q$12,0))</f>
        <v>1</v>
      </c>
      <c r="K143">
        <f t="shared" si="2"/>
        <v>1</v>
      </c>
      <c r="L143">
        <v>143</v>
      </c>
    </row>
    <row r="144" spans="1:12" x14ac:dyDescent="0.25">
      <c r="A144" t="s">
        <v>64</v>
      </c>
      <c r="B144" t="s">
        <v>9</v>
      </c>
      <c r="C144">
        <v>4</v>
      </c>
      <c r="D144" t="s">
        <v>44</v>
      </c>
      <c r="E144" t="str">
        <f>'CUMPLIMIENTO GUARDIAS'!J144</f>
        <v>C</v>
      </c>
      <c r="F144" s="34">
        <f>'CUMPLIMIENTO GUARDIAS'!I144</f>
        <v>1</v>
      </c>
      <c r="G144" t="str">
        <f>'CUMPLIMIENTO GUARDIAS'!E144</f>
        <v>C</v>
      </c>
      <c r="H144" t="str">
        <f>'CUMPLIMIENTO GUARDIAS'!F144</f>
        <v>C</v>
      </c>
      <c r="I144" t="str">
        <f>'CUMPLIMIENTO GUARDIAS'!G144</f>
        <v>C</v>
      </c>
      <c r="J144">
        <f>--(C144&lt;=MATCH('DASHBOARD AVANZADO'!$G$3,'DASHBOARD AVANZADO'!$Q$1:$Q$12,0))</f>
        <v>1</v>
      </c>
      <c r="K144">
        <f t="shared" si="2"/>
        <v>1</v>
      </c>
      <c r="L144">
        <v>144</v>
      </c>
    </row>
    <row r="145" spans="1:12" x14ac:dyDescent="0.25">
      <c r="A145" t="s">
        <v>64</v>
      </c>
      <c r="B145" t="s">
        <v>9</v>
      </c>
      <c r="C145">
        <v>4</v>
      </c>
      <c r="D145" t="s">
        <v>45</v>
      </c>
      <c r="E145" t="str">
        <f>'CUMPLIMIENTO GUARDIAS'!J145</f>
        <v>C</v>
      </c>
      <c r="F145" s="34">
        <f>'CUMPLIMIENTO GUARDIAS'!I145</f>
        <v>1</v>
      </c>
      <c r="G145" t="str">
        <f>'CUMPLIMIENTO GUARDIAS'!E145</f>
        <v>C</v>
      </c>
      <c r="H145" t="str">
        <f>'CUMPLIMIENTO GUARDIAS'!F145</f>
        <v>C</v>
      </c>
      <c r="I145" t="str">
        <f>'CUMPLIMIENTO GUARDIAS'!G145</f>
        <v>C</v>
      </c>
      <c r="J145">
        <f>--(C145&lt;=MATCH('DASHBOARD AVANZADO'!$G$3,'DASHBOARD AVANZADO'!$Q$1:$Q$12,0))</f>
        <v>1</v>
      </c>
      <c r="K145">
        <f t="shared" si="2"/>
        <v>1</v>
      </c>
      <c r="L145">
        <v>145</v>
      </c>
    </row>
    <row r="146" spans="1:12" x14ac:dyDescent="0.25">
      <c r="A146" t="s">
        <v>64</v>
      </c>
      <c r="B146" t="s">
        <v>10</v>
      </c>
      <c r="C146">
        <v>5</v>
      </c>
      <c r="D146" t="s">
        <v>46</v>
      </c>
      <c r="E146" t="str">
        <f>'CUMPLIMIENTO GUARDIAS'!J146</f>
        <v>C</v>
      </c>
      <c r="F146" s="34">
        <f>'CUMPLIMIENTO GUARDIAS'!I146</f>
        <v>1</v>
      </c>
      <c r="G146" t="str">
        <f>'CUMPLIMIENTO GUARDIAS'!E146</f>
        <v>C</v>
      </c>
      <c r="H146" t="str">
        <f>'CUMPLIMIENTO GUARDIAS'!F146</f>
        <v>C</v>
      </c>
      <c r="I146" t="str">
        <f>'CUMPLIMIENTO GUARDIAS'!G146</f>
        <v>C</v>
      </c>
      <c r="J146">
        <f>--(C146&lt;=MATCH('DASHBOARD AVANZADO'!$G$3,'DASHBOARD AVANZADO'!$Q$1:$Q$12,0))</f>
        <v>1</v>
      </c>
      <c r="K146">
        <f t="shared" si="2"/>
        <v>1</v>
      </c>
      <c r="L146">
        <v>146</v>
      </c>
    </row>
    <row r="147" spans="1:12" x14ac:dyDescent="0.25">
      <c r="A147" t="s">
        <v>64</v>
      </c>
      <c r="B147" t="s">
        <v>10</v>
      </c>
      <c r="C147">
        <v>5</v>
      </c>
      <c r="D147" t="s">
        <v>47</v>
      </c>
      <c r="E147" t="str">
        <f>'CUMPLIMIENTO GUARDIAS'!J147</f>
        <v>C</v>
      </c>
      <c r="F147" s="34">
        <f>'CUMPLIMIENTO GUARDIAS'!I147</f>
        <v>1</v>
      </c>
      <c r="G147" t="str">
        <f>'CUMPLIMIENTO GUARDIAS'!E147</f>
        <v>C</v>
      </c>
      <c r="H147" t="str">
        <f>'CUMPLIMIENTO GUARDIAS'!F147</f>
        <v>C</v>
      </c>
      <c r="I147" t="str">
        <f>'CUMPLIMIENTO GUARDIAS'!G147</f>
        <v>C</v>
      </c>
      <c r="J147">
        <f>--(C147&lt;=MATCH('DASHBOARD AVANZADO'!$G$3,'DASHBOARD AVANZADO'!$Q$1:$Q$12,0))</f>
        <v>1</v>
      </c>
      <c r="K147">
        <f t="shared" si="2"/>
        <v>1</v>
      </c>
      <c r="L147">
        <v>147</v>
      </c>
    </row>
    <row r="148" spans="1:12" x14ac:dyDescent="0.25">
      <c r="A148" t="s">
        <v>64</v>
      </c>
      <c r="B148" t="s">
        <v>11</v>
      </c>
      <c r="C148">
        <v>6</v>
      </c>
      <c r="D148" t="s">
        <v>20</v>
      </c>
      <c r="E148" t="str">
        <f>'CUMPLIMIENTO GUARDIAS'!J148</f>
        <v>C</v>
      </c>
      <c r="F148" s="34">
        <f>'CUMPLIMIENTO GUARDIAS'!I148</f>
        <v>1</v>
      </c>
      <c r="G148" t="str">
        <f>'CUMPLIMIENTO GUARDIAS'!E148</f>
        <v>C</v>
      </c>
      <c r="H148" t="str">
        <f>'CUMPLIMIENTO GUARDIAS'!F148</f>
        <v>C</v>
      </c>
      <c r="I148" t="str">
        <f>'CUMPLIMIENTO GUARDIAS'!G148</f>
        <v>C</v>
      </c>
      <c r="J148">
        <f>--(C148&lt;=MATCH('DASHBOARD AVANZADO'!$G$3,'DASHBOARD AVANZADO'!$Q$1:$Q$12,0))</f>
        <v>1</v>
      </c>
      <c r="K148">
        <f t="shared" si="2"/>
        <v>1</v>
      </c>
      <c r="L148">
        <v>148</v>
      </c>
    </row>
    <row r="149" spans="1:12" x14ac:dyDescent="0.25">
      <c r="A149" t="s">
        <v>64</v>
      </c>
      <c r="B149" t="s">
        <v>11</v>
      </c>
      <c r="C149">
        <v>6</v>
      </c>
      <c r="D149" t="s">
        <v>48</v>
      </c>
      <c r="E149" t="str">
        <f>'CUMPLIMIENTO GUARDIAS'!J149</f>
        <v>C</v>
      </c>
      <c r="F149" s="34">
        <f>'CUMPLIMIENTO GUARDIAS'!I149</f>
        <v>1</v>
      </c>
      <c r="G149" t="str">
        <f>'CUMPLIMIENTO GUARDIAS'!E149</f>
        <v>C</v>
      </c>
      <c r="H149" t="str">
        <f>'CUMPLIMIENTO GUARDIAS'!F149</f>
        <v>C</v>
      </c>
      <c r="I149" t="str">
        <f>'CUMPLIMIENTO GUARDIAS'!G149</f>
        <v>C</v>
      </c>
      <c r="J149">
        <f>--(C149&lt;=MATCH('DASHBOARD AVANZADO'!$G$3,'DASHBOARD AVANZADO'!$Q$1:$Q$12,0))</f>
        <v>1</v>
      </c>
      <c r="K149">
        <f t="shared" si="2"/>
        <v>1</v>
      </c>
      <c r="L149">
        <v>149</v>
      </c>
    </row>
    <row r="150" spans="1:12" x14ac:dyDescent="0.25">
      <c r="A150" t="s">
        <v>64</v>
      </c>
      <c r="B150" t="s">
        <v>11</v>
      </c>
      <c r="C150">
        <v>6</v>
      </c>
      <c r="D150" t="s">
        <v>49</v>
      </c>
      <c r="E150" t="str">
        <f>'CUMPLIMIENTO GUARDIAS'!J150</f>
        <v>F</v>
      </c>
      <c r="F150" s="34">
        <f>'CUMPLIMIENTO GUARDIAS'!I150</f>
        <v>0</v>
      </c>
      <c r="G150" t="str">
        <f>'CUMPLIMIENTO GUARDIAS'!E150</f>
        <v>F</v>
      </c>
      <c r="H150" t="str">
        <f>'CUMPLIMIENTO GUARDIAS'!F150</f>
        <v>F</v>
      </c>
      <c r="I150" t="str">
        <f>'CUMPLIMIENTO GUARDIAS'!G150</f>
        <v>F</v>
      </c>
      <c r="J150">
        <f>--(C150&lt;=MATCH('DASHBOARD AVANZADO'!$G$3,'DASHBOARD AVANZADO'!$Q$1:$Q$12,0))</f>
        <v>1</v>
      </c>
      <c r="K150">
        <f t="shared" si="2"/>
        <v>0</v>
      </c>
      <c r="L150">
        <v>150</v>
      </c>
    </row>
    <row r="151" spans="1:12" x14ac:dyDescent="0.25">
      <c r="A151" t="s">
        <v>64</v>
      </c>
      <c r="B151" t="s">
        <v>12</v>
      </c>
      <c r="C151">
        <v>7</v>
      </c>
      <c r="D151" t="s">
        <v>38</v>
      </c>
      <c r="E151" t="str">
        <f>'CUMPLIMIENTO GUARDIAS'!J151</f>
        <v>C</v>
      </c>
      <c r="F151" s="34">
        <f>'CUMPLIMIENTO GUARDIAS'!I151</f>
        <v>1</v>
      </c>
      <c r="G151" t="str">
        <f>'CUMPLIMIENTO GUARDIAS'!E151</f>
        <v>C</v>
      </c>
      <c r="H151" t="str">
        <f>'CUMPLIMIENTO GUARDIAS'!F151</f>
        <v>C</v>
      </c>
      <c r="I151" t="str">
        <f>'CUMPLIMIENTO GUARDIAS'!G151</f>
        <v>C</v>
      </c>
      <c r="J151">
        <f>--(C151&lt;=MATCH('DASHBOARD AVANZADO'!$G$3,'DASHBOARD AVANZADO'!$Q$1:$Q$12,0))</f>
        <v>1</v>
      </c>
      <c r="K151">
        <f t="shared" si="2"/>
        <v>1</v>
      </c>
      <c r="L151">
        <v>151</v>
      </c>
    </row>
    <row r="152" spans="1:12" x14ac:dyDescent="0.25">
      <c r="A152" t="s">
        <v>64</v>
      </c>
      <c r="B152" t="s">
        <v>12</v>
      </c>
      <c r="C152">
        <v>7</v>
      </c>
      <c r="D152" t="s">
        <v>87</v>
      </c>
      <c r="E152" t="str">
        <f>'CUMPLIMIENTO GUARDIAS'!J152</f>
        <v>F</v>
      </c>
      <c r="F152" s="34">
        <f>'CUMPLIMIENTO GUARDIAS'!I152</f>
        <v>0</v>
      </c>
      <c r="G152">
        <f>'CUMPLIMIENTO GUARDIAS'!E152</f>
        <v>0</v>
      </c>
      <c r="H152">
        <f>'CUMPLIMIENTO GUARDIAS'!F152</f>
        <v>0</v>
      </c>
      <c r="I152">
        <f>'CUMPLIMIENTO GUARDIAS'!G152</f>
        <v>0</v>
      </c>
      <c r="J152">
        <f>--(C152&lt;=MATCH('DASHBOARD AVANZADO'!$G$3,'DASHBOARD AVANZADO'!$Q$1:$Q$12,0))</f>
        <v>1</v>
      </c>
      <c r="K152">
        <f t="shared" si="2"/>
        <v>0</v>
      </c>
      <c r="L152">
        <v>152</v>
      </c>
    </row>
    <row r="153" spans="1:12" x14ac:dyDescent="0.25">
      <c r="A153" t="s">
        <v>64</v>
      </c>
      <c r="B153" t="s">
        <v>12</v>
      </c>
      <c r="C153">
        <v>7</v>
      </c>
      <c r="D153" t="s">
        <v>51</v>
      </c>
      <c r="E153" t="str">
        <f>'CUMPLIMIENTO GUARDIAS'!J153</f>
        <v>EP</v>
      </c>
      <c r="F153" s="34">
        <f>'CUMPLIMIENTO GUARDIAS'!I153</f>
        <v>0</v>
      </c>
      <c r="G153" t="str">
        <f>'CUMPLIMIENTO GUARDIAS'!E153</f>
        <v>EP</v>
      </c>
      <c r="H153" t="str">
        <f>'CUMPLIMIENTO GUARDIAS'!F153</f>
        <v>EP</v>
      </c>
      <c r="I153" t="str">
        <f>'CUMPLIMIENTO GUARDIAS'!G153</f>
        <v>EP</v>
      </c>
      <c r="J153">
        <f>--(C153&lt;=MATCH('DASHBOARD AVANZADO'!$G$3,'DASHBOARD AVANZADO'!$Q$1:$Q$12,0))</f>
        <v>1</v>
      </c>
      <c r="K153">
        <f t="shared" si="2"/>
        <v>0</v>
      </c>
      <c r="L153">
        <v>153</v>
      </c>
    </row>
    <row r="154" spans="1:12" x14ac:dyDescent="0.25">
      <c r="A154" t="s">
        <v>64</v>
      </c>
      <c r="B154" t="s">
        <v>13</v>
      </c>
      <c r="C154">
        <v>8</v>
      </c>
      <c r="D154" t="s">
        <v>52</v>
      </c>
      <c r="E154">
        <f>'CUMPLIMIENTO GUARDIAS'!J154</f>
        <v>0</v>
      </c>
      <c r="F154" s="34">
        <f>'CUMPLIMIENTO GUARDIAS'!I154</f>
        <v>0</v>
      </c>
      <c r="G154">
        <f>'CUMPLIMIENTO GUARDIAS'!E154</f>
        <v>0</v>
      </c>
      <c r="H154">
        <f>'CUMPLIMIENTO GUARDIAS'!F154</f>
        <v>0</v>
      </c>
      <c r="I154">
        <f>'CUMPLIMIENTO GUARDIAS'!G154</f>
        <v>0</v>
      </c>
      <c r="J154">
        <f>--(C154&lt;=MATCH('DASHBOARD AVANZADO'!$G$3,'DASHBOARD AVANZADO'!$Q$1:$Q$12,0))</f>
        <v>0</v>
      </c>
      <c r="K154">
        <f t="shared" si="2"/>
        <v>0</v>
      </c>
      <c r="L154">
        <v>154</v>
      </c>
    </row>
    <row r="155" spans="1:12" x14ac:dyDescent="0.25">
      <c r="A155" t="s">
        <v>64</v>
      </c>
      <c r="B155" t="s">
        <v>13</v>
      </c>
      <c r="C155">
        <v>8</v>
      </c>
      <c r="D155" t="s">
        <v>53</v>
      </c>
      <c r="E155">
        <f>'CUMPLIMIENTO GUARDIAS'!J155</f>
        <v>0</v>
      </c>
      <c r="F155" s="34">
        <f>'CUMPLIMIENTO GUARDIAS'!I155</f>
        <v>0</v>
      </c>
      <c r="G155">
        <f>'CUMPLIMIENTO GUARDIAS'!E155</f>
        <v>0</v>
      </c>
      <c r="H155">
        <f>'CUMPLIMIENTO GUARDIAS'!F155</f>
        <v>0</v>
      </c>
      <c r="I155">
        <f>'CUMPLIMIENTO GUARDIAS'!G155</f>
        <v>0</v>
      </c>
      <c r="J155">
        <f>--(C155&lt;=MATCH('DASHBOARD AVANZADO'!$G$3,'DASHBOARD AVANZADO'!$Q$1:$Q$12,0))</f>
        <v>0</v>
      </c>
      <c r="K155">
        <f t="shared" si="2"/>
        <v>0</v>
      </c>
      <c r="L155">
        <v>155</v>
      </c>
    </row>
    <row r="156" spans="1:12" x14ac:dyDescent="0.25">
      <c r="A156" t="s">
        <v>64</v>
      </c>
      <c r="B156" t="s">
        <v>13</v>
      </c>
      <c r="C156">
        <v>8</v>
      </c>
      <c r="D156" t="s">
        <v>54</v>
      </c>
      <c r="E156">
        <f>'CUMPLIMIENTO GUARDIAS'!J156</f>
        <v>0</v>
      </c>
      <c r="F156" s="34">
        <f>'CUMPLIMIENTO GUARDIAS'!I156</f>
        <v>0</v>
      </c>
      <c r="G156">
        <f>'CUMPLIMIENTO GUARDIAS'!E156</f>
        <v>0</v>
      </c>
      <c r="H156">
        <f>'CUMPLIMIENTO GUARDIAS'!F156</f>
        <v>0</v>
      </c>
      <c r="I156">
        <f>'CUMPLIMIENTO GUARDIAS'!G156</f>
        <v>0</v>
      </c>
      <c r="J156">
        <f>--(C156&lt;=MATCH('DASHBOARD AVANZADO'!$G$3,'DASHBOARD AVANZADO'!$Q$1:$Q$12,0))</f>
        <v>0</v>
      </c>
      <c r="K156">
        <f t="shared" si="2"/>
        <v>0</v>
      </c>
      <c r="L156">
        <v>156</v>
      </c>
    </row>
    <row r="157" spans="1:12" x14ac:dyDescent="0.25">
      <c r="A157" t="s">
        <v>64</v>
      </c>
      <c r="B157" t="s">
        <v>14</v>
      </c>
      <c r="C157">
        <v>9</v>
      </c>
      <c r="D157" t="s">
        <v>55</v>
      </c>
      <c r="E157">
        <f>'CUMPLIMIENTO GUARDIAS'!J157</f>
        <v>0</v>
      </c>
      <c r="F157" s="34">
        <f>'CUMPLIMIENTO GUARDIAS'!I157</f>
        <v>0</v>
      </c>
      <c r="G157">
        <f>'CUMPLIMIENTO GUARDIAS'!E157</f>
        <v>0</v>
      </c>
      <c r="H157">
        <f>'CUMPLIMIENTO GUARDIAS'!F157</f>
        <v>0</v>
      </c>
      <c r="I157">
        <f>'CUMPLIMIENTO GUARDIAS'!G157</f>
        <v>0</v>
      </c>
      <c r="J157">
        <f>--(C157&lt;=MATCH('DASHBOARD AVANZADO'!$G$3,'DASHBOARD AVANZADO'!$Q$1:$Q$12,0))</f>
        <v>0</v>
      </c>
      <c r="K157">
        <f t="shared" si="2"/>
        <v>0</v>
      </c>
      <c r="L157">
        <v>157</v>
      </c>
    </row>
    <row r="158" spans="1:12" x14ac:dyDescent="0.25">
      <c r="A158" t="s">
        <v>64</v>
      </c>
      <c r="B158" t="s">
        <v>14</v>
      </c>
      <c r="C158">
        <v>9</v>
      </c>
      <c r="D158" t="s">
        <v>56</v>
      </c>
      <c r="E158">
        <f>'CUMPLIMIENTO GUARDIAS'!J158</f>
        <v>0</v>
      </c>
      <c r="F158" s="34">
        <f>'CUMPLIMIENTO GUARDIAS'!I158</f>
        <v>0</v>
      </c>
      <c r="G158">
        <f>'CUMPLIMIENTO GUARDIAS'!E158</f>
        <v>0</v>
      </c>
      <c r="H158">
        <f>'CUMPLIMIENTO GUARDIAS'!F158</f>
        <v>0</v>
      </c>
      <c r="I158">
        <f>'CUMPLIMIENTO GUARDIAS'!G158</f>
        <v>0</v>
      </c>
      <c r="J158">
        <f>--(C158&lt;=MATCH('DASHBOARD AVANZADO'!$G$3,'DASHBOARD AVANZADO'!$Q$1:$Q$12,0))</f>
        <v>0</v>
      </c>
      <c r="K158">
        <f t="shared" si="2"/>
        <v>0</v>
      </c>
      <c r="L158">
        <v>158</v>
      </c>
    </row>
    <row r="159" spans="1:12" x14ac:dyDescent="0.25">
      <c r="A159" t="s">
        <v>64</v>
      </c>
      <c r="B159" t="s">
        <v>15</v>
      </c>
      <c r="C159">
        <v>10</v>
      </c>
      <c r="D159" t="s">
        <v>20</v>
      </c>
      <c r="E159">
        <f>'CUMPLIMIENTO GUARDIAS'!J159</f>
        <v>0</v>
      </c>
      <c r="F159" s="34">
        <f>'CUMPLIMIENTO GUARDIAS'!I159</f>
        <v>0</v>
      </c>
      <c r="G159">
        <f>'CUMPLIMIENTO GUARDIAS'!E159</f>
        <v>0</v>
      </c>
      <c r="H159">
        <f>'CUMPLIMIENTO GUARDIAS'!F159</f>
        <v>0</v>
      </c>
      <c r="I159">
        <f>'CUMPLIMIENTO GUARDIAS'!G159</f>
        <v>0</v>
      </c>
      <c r="J159">
        <f>--(C159&lt;=MATCH('DASHBOARD AVANZADO'!$G$3,'DASHBOARD AVANZADO'!$Q$1:$Q$12,0))</f>
        <v>0</v>
      </c>
      <c r="K159">
        <f t="shared" si="2"/>
        <v>0</v>
      </c>
      <c r="L159">
        <v>159</v>
      </c>
    </row>
    <row r="160" spans="1:12" x14ac:dyDescent="0.25">
      <c r="A160" t="s">
        <v>64</v>
      </c>
      <c r="B160" t="s">
        <v>15</v>
      </c>
      <c r="C160">
        <v>10</v>
      </c>
      <c r="D160" t="s">
        <v>42</v>
      </c>
      <c r="E160">
        <f>'CUMPLIMIENTO GUARDIAS'!J160</f>
        <v>0</v>
      </c>
      <c r="F160" s="34">
        <f>'CUMPLIMIENTO GUARDIAS'!I160</f>
        <v>0</v>
      </c>
      <c r="G160">
        <f>'CUMPLIMIENTO GUARDIAS'!E160</f>
        <v>0</v>
      </c>
      <c r="H160">
        <f>'CUMPLIMIENTO GUARDIAS'!F160</f>
        <v>0</v>
      </c>
      <c r="I160">
        <f>'CUMPLIMIENTO GUARDIAS'!G160</f>
        <v>0</v>
      </c>
      <c r="J160">
        <f>--(C160&lt;=MATCH('DASHBOARD AVANZADO'!$G$3,'DASHBOARD AVANZADO'!$Q$1:$Q$12,0))</f>
        <v>0</v>
      </c>
      <c r="K160">
        <f t="shared" si="2"/>
        <v>0</v>
      </c>
      <c r="L160">
        <v>160</v>
      </c>
    </row>
    <row r="161" spans="1:12" x14ac:dyDescent="0.25">
      <c r="A161" t="s">
        <v>64</v>
      </c>
      <c r="B161" t="s">
        <v>16</v>
      </c>
      <c r="C161">
        <v>11</v>
      </c>
      <c r="D161" t="s">
        <v>57</v>
      </c>
      <c r="E161">
        <f>'CUMPLIMIENTO GUARDIAS'!J161</f>
        <v>0</v>
      </c>
      <c r="F161" s="34">
        <f>'CUMPLIMIENTO GUARDIAS'!I161</f>
        <v>0</v>
      </c>
      <c r="G161">
        <f>'CUMPLIMIENTO GUARDIAS'!E161</f>
        <v>0</v>
      </c>
      <c r="H161">
        <f>'CUMPLIMIENTO GUARDIAS'!F161</f>
        <v>0</v>
      </c>
      <c r="I161">
        <f>'CUMPLIMIENTO GUARDIAS'!G161</f>
        <v>0</v>
      </c>
      <c r="J161">
        <f>--(C161&lt;=MATCH('DASHBOARD AVANZADO'!$G$3,'DASHBOARD AVANZADO'!$Q$1:$Q$12,0))</f>
        <v>0</v>
      </c>
      <c r="K161">
        <f t="shared" si="2"/>
        <v>0</v>
      </c>
      <c r="L161">
        <v>161</v>
      </c>
    </row>
    <row r="162" spans="1:12" x14ac:dyDescent="0.25">
      <c r="A162" t="s">
        <v>64</v>
      </c>
      <c r="B162" t="s">
        <v>16</v>
      </c>
      <c r="C162">
        <v>11</v>
      </c>
      <c r="D162" t="s">
        <v>39</v>
      </c>
      <c r="E162">
        <f>'CUMPLIMIENTO GUARDIAS'!J162</f>
        <v>0</v>
      </c>
      <c r="F162" s="34">
        <f>'CUMPLIMIENTO GUARDIAS'!I162</f>
        <v>0</v>
      </c>
      <c r="G162">
        <f>'CUMPLIMIENTO GUARDIAS'!E162</f>
        <v>0</v>
      </c>
      <c r="H162">
        <f>'CUMPLIMIENTO GUARDIAS'!F162</f>
        <v>0</v>
      </c>
      <c r="I162">
        <f>'CUMPLIMIENTO GUARDIAS'!G162</f>
        <v>0</v>
      </c>
      <c r="J162">
        <f>--(C162&lt;=MATCH('DASHBOARD AVANZADO'!$G$3,'DASHBOARD AVANZADO'!$Q$1:$Q$12,0))</f>
        <v>0</v>
      </c>
      <c r="K162">
        <f t="shared" si="2"/>
        <v>0</v>
      </c>
      <c r="L162">
        <v>162</v>
      </c>
    </row>
    <row r="163" spans="1:12" x14ac:dyDescent="0.25">
      <c r="A163" t="s">
        <v>64</v>
      </c>
      <c r="B163" t="s">
        <v>17</v>
      </c>
      <c r="C163">
        <v>12</v>
      </c>
      <c r="D163" t="s">
        <v>38</v>
      </c>
      <c r="E163">
        <f>'CUMPLIMIENTO GUARDIAS'!J163</f>
        <v>0</v>
      </c>
      <c r="F163" s="34">
        <f>'CUMPLIMIENTO GUARDIAS'!I163</f>
        <v>0</v>
      </c>
      <c r="G163">
        <f>'CUMPLIMIENTO GUARDIAS'!E163</f>
        <v>0</v>
      </c>
      <c r="H163">
        <f>'CUMPLIMIENTO GUARDIAS'!F163</f>
        <v>0</v>
      </c>
      <c r="I163">
        <f>'CUMPLIMIENTO GUARDIAS'!G163</f>
        <v>0</v>
      </c>
      <c r="J163">
        <f>--(C163&lt;=MATCH('DASHBOARD AVANZADO'!$G$3,'DASHBOARD AVANZADO'!$Q$1:$Q$12,0))</f>
        <v>0</v>
      </c>
      <c r="K163">
        <f t="shared" si="2"/>
        <v>0</v>
      </c>
      <c r="L163">
        <v>163</v>
      </c>
    </row>
    <row r="164" spans="1:12" x14ac:dyDescent="0.25">
      <c r="A164" t="s">
        <v>65</v>
      </c>
      <c r="B164" t="s">
        <v>6</v>
      </c>
      <c r="C164">
        <v>1</v>
      </c>
      <c r="D164" t="s">
        <v>38</v>
      </c>
      <c r="E164" t="str">
        <f>'CUMPLIMIENTO GUARDIAS'!J164</f>
        <v>C</v>
      </c>
      <c r="F164" s="34">
        <f>'CUMPLIMIENTO GUARDIAS'!I164</f>
        <v>1</v>
      </c>
      <c r="G164" t="str">
        <f>'CUMPLIMIENTO GUARDIAS'!E164</f>
        <v>C</v>
      </c>
      <c r="H164" t="str">
        <f>'CUMPLIMIENTO GUARDIAS'!F164</f>
        <v>C</v>
      </c>
      <c r="I164" t="str">
        <f>'CUMPLIMIENTO GUARDIAS'!G164</f>
        <v>C</v>
      </c>
      <c r="J164">
        <f>--(C164&lt;=MATCH('DASHBOARD AVANZADO'!$G$3,'DASHBOARD AVANZADO'!$Q$1:$Q$12,0))</f>
        <v>1</v>
      </c>
      <c r="K164">
        <f t="shared" si="2"/>
        <v>1</v>
      </c>
      <c r="L164">
        <v>164</v>
      </c>
    </row>
    <row r="165" spans="1:12" x14ac:dyDescent="0.25">
      <c r="A165" t="s">
        <v>65</v>
      </c>
      <c r="B165" t="s">
        <v>6</v>
      </c>
      <c r="C165">
        <v>1</v>
      </c>
      <c r="D165" t="s">
        <v>39</v>
      </c>
      <c r="E165" t="str">
        <f>'CUMPLIMIENTO GUARDIAS'!J165</f>
        <v>C</v>
      </c>
      <c r="F165" s="34">
        <f>'CUMPLIMIENTO GUARDIAS'!I165</f>
        <v>1</v>
      </c>
      <c r="G165" t="str">
        <f>'CUMPLIMIENTO GUARDIAS'!E165</f>
        <v>C</v>
      </c>
      <c r="H165" t="str">
        <f>'CUMPLIMIENTO GUARDIAS'!F165</f>
        <v>C</v>
      </c>
      <c r="I165" t="str">
        <f>'CUMPLIMIENTO GUARDIAS'!G165</f>
        <v>C</v>
      </c>
      <c r="J165">
        <f>--(C165&lt;=MATCH('DASHBOARD AVANZADO'!$G$3,'DASHBOARD AVANZADO'!$Q$1:$Q$12,0))</f>
        <v>1</v>
      </c>
      <c r="K165">
        <f t="shared" si="2"/>
        <v>1</v>
      </c>
      <c r="L165">
        <v>165</v>
      </c>
    </row>
    <row r="166" spans="1:12" x14ac:dyDescent="0.25">
      <c r="A166" t="s">
        <v>65</v>
      </c>
      <c r="B166" t="s">
        <v>7</v>
      </c>
      <c r="C166">
        <v>2</v>
      </c>
      <c r="D166" t="s">
        <v>40</v>
      </c>
      <c r="E166" t="str">
        <f>'CUMPLIMIENTO GUARDIAS'!J166</f>
        <v>C</v>
      </c>
      <c r="F166" s="34">
        <f>'CUMPLIMIENTO GUARDIAS'!I166</f>
        <v>1</v>
      </c>
      <c r="G166" t="str">
        <f>'CUMPLIMIENTO GUARDIAS'!E166</f>
        <v>C</v>
      </c>
      <c r="H166" t="str">
        <f>'CUMPLIMIENTO GUARDIAS'!F166</f>
        <v>C</v>
      </c>
      <c r="I166" t="str">
        <f>'CUMPLIMIENTO GUARDIAS'!G166</f>
        <v>C</v>
      </c>
      <c r="J166">
        <f>--(C166&lt;=MATCH('DASHBOARD AVANZADO'!$G$3,'DASHBOARD AVANZADO'!$Q$1:$Q$12,0))</f>
        <v>1</v>
      </c>
      <c r="K166">
        <f t="shared" si="2"/>
        <v>1</v>
      </c>
      <c r="L166">
        <v>166</v>
      </c>
    </row>
    <row r="167" spans="1:12" x14ac:dyDescent="0.25">
      <c r="A167" t="s">
        <v>65</v>
      </c>
      <c r="B167" t="s">
        <v>7</v>
      </c>
      <c r="C167">
        <v>2</v>
      </c>
      <c r="D167" t="s">
        <v>20</v>
      </c>
      <c r="E167" t="str">
        <f>'CUMPLIMIENTO GUARDIAS'!J167</f>
        <v>C</v>
      </c>
      <c r="F167" s="34">
        <f>'CUMPLIMIENTO GUARDIAS'!I167</f>
        <v>1</v>
      </c>
      <c r="G167" t="str">
        <f>'CUMPLIMIENTO GUARDIAS'!E167</f>
        <v>C</v>
      </c>
      <c r="H167" t="str">
        <f>'CUMPLIMIENTO GUARDIAS'!F167</f>
        <v>C</v>
      </c>
      <c r="I167" t="str">
        <f>'CUMPLIMIENTO GUARDIAS'!G167</f>
        <v>C</v>
      </c>
      <c r="J167">
        <f>--(C167&lt;=MATCH('DASHBOARD AVANZADO'!$G$3,'DASHBOARD AVANZADO'!$Q$1:$Q$12,0))</f>
        <v>1</v>
      </c>
      <c r="K167">
        <f t="shared" si="2"/>
        <v>1</v>
      </c>
      <c r="L167">
        <v>167</v>
      </c>
    </row>
    <row r="168" spans="1:12" x14ac:dyDescent="0.25">
      <c r="A168" t="s">
        <v>65</v>
      </c>
      <c r="B168" t="s">
        <v>8</v>
      </c>
      <c r="C168">
        <v>3</v>
      </c>
      <c r="D168" t="s">
        <v>41</v>
      </c>
      <c r="E168" t="str">
        <f>'CUMPLIMIENTO GUARDIAS'!J168</f>
        <v>C</v>
      </c>
      <c r="F168" s="34">
        <f>'CUMPLIMIENTO GUARDIAS'!I168</f>
        <v>1</v>
      </c>
      <c r="G168" t="str">
        <f>'CUMPLIMIENTO GUARDIAS'!E168</f>
        <v>C</v>
      </c>
      <c r="H168" t="str">
        <f>'CUMPLIMIENTO GUARDIAS'!F168</f>
        <v>C</v>
      </c>
      <c r="I168" t="str">
        <f>'CUMPLIMIENTO GUARDIAS'!G168</f>
        <v>C</v>
      </c>
      <c r="J168">
        <f>--(C168&lt;=MATCH('DASHBOARD AVANZADO'!$G$3,'DASHBOARD AVANZADO'!$Q$1:$Q$12,0))</f>
        <v>1</v>
      </c>
      <c r="K168">
        <f t="shared" si="2"/>
        <v>1</v>
      </c>
      <c r="L168">
        <v>168</v>
      </c>
    </row>
    <row r="169" spans="1:12" x14ac:dyDescent="0.25">
      <c r="A169" t="s">
        <v>65</v>
      </c>
      <c r="B169" t="s">
        <v>8</v>
      </c>
      <c r="C169">
        <v>3</v>
      </c>
      <c r="D169" t="s">
        <v>42</v>
      </c>
      <c r="E169" t="str">
        <f>'CUMPLIMIENTO GUARDIAS'!J169</f>
        <v>C</v>
      </c>
      <c r="F169" s="34">
        <f>'CUMPLIMIENTO GUARDIAS'!I169</f>
        <v>1</v>
      </c>
      <c r="G169" t="str">
        <f>'CUMPLIMIENTO GUARDIAS'!E169</f>
        <v>C</v>
      </c>
      <c r="H169" t="str">
        <f>'CUMPLIMIENTO GUARDIAS'!F169</f>
        <v>C</v>
      </c>
      <c r="I169" t="str">
        <f>'CUMPLIMIENTO GUARDIAS'!G169</f>
        <v>C</v>
      </c>
      <c r="J169">
        <f>--(C169&lt;=MATCH('DASHBOARD AVANZADO'!$G$3,'DASHBOARD AVANZADO'!$Q$1:$Q$12,0))</f>
        <v>1</v>
      </c>
      <c r="K169">
        <f t="shared" si="2"/>
        <v>1</v>
      </c>
      <c r="L169">
        <v>169</v>
      </c>
    </row>
    <row r="170" spans="1:12" x14ac:dyDescent="0.25">
      <c r="A170" t="s">
        <v>65</v>
      </c>
      <c r="B170" t="s">
        <v>9</v>
      </c>
      <c r="C170">
        <v>4</v>
      </c>
      <c r="D170" t="s">
        <v>43</v>
      </c>
      <c r="E170" t="str">
        <f>'CUMPLIMIENTO GUARDIAS'!J170</f>
        <v>C</v>
      </c>
      <c r="F170" s="34">
        <f>'CUMPLIMIENTO GUARDIAS'!I170</f>
        <v>1</v>
      </c>
      <c r="G170" t="str">
        <f>'CUMPLIMIENTO GUARDIAS'!E170</f>
        <v>C</v>
      </c>
      <c r="H170" t="str">
        <f>'CUMPLIMIENTO GUARDIAS'!F170</f>
        <v>C</v>
      </c>
      <c r="I170" t="str">
        <f>'CUMPLIMIENTO GUARDIAS'!G170</f>
        <v>C</v>
      </c>
      <c r="J170">
        <f>--(C170&lt;=MATCH('DASHBOARD AVANZADO'!$G$3,'DASHBOARD AVANZADO'!$Q$1:$Q$12,0))</f>
        <v>1</v>
      </c>
      <c r="K170">
        <f t="shared" si="2"/>
        <v>1</v>
      </c>
      <c r="L170">
        <v>170</v>
      </c>
    </row>
    <row r="171" spans="1:12" x14ac:dyDescent="0.25">
      <c r="A171" t="s">
        <v>65</v>
      </c>
      <c r="B171" t="s">
        <v>9</v>
      </c>
      <c r="C171">
        <v>4</v>
      </c>
      <c r="D171" t="s">
        <v>44</v>
      </c>
      <c r="E171" t="str">
        <f>'CUMPLIMIENTO GUARDIAS'!J171</f>
        <v>C</v>
      </c>
      <c r="F171" s="34">
        <f>'CUMPLIMIENTO GUARDIAS'!I171</f>
        <v>1</v>
      </c>
      <c r="G171" t="str">
        <f>'CUMPLIMIENTO GUARDIAS'!E171</f>
        <v>C</v>
      </c>
      <c r="H171" t="str">
        <f>'CUMPLIMIENTO GUARDIAS'!F171</f>
        <v>C</v>
      </c>
      <c r="I171" t="str">
        <f>'CUMPLIMIENTO GUARDIAS'!G171</f>
        <v>C</v>
      </c>
      <c r="J171">
        <f>--(C171&lt;=MATCH('DASHBOARD AVANZADO'!$G$3,'DASHBOARD AVANZADO'!$Q$1:$Q$12,0))</f>
        <v>1</v>
      </c>
      <c r="K171">
        <f t="shared" si="2"/>
        <v>1</v>
      </c>
      <c r="L171">
        <v>171</v>
      </c>
    </row>
    <row r="172" spans="1:12" x14ac:dyDescent="0.25">
      <c r="A172" t="s">
        <v>65</v>
      </c>
      <c r="B172" t="s">
        <v>9</v>
      </c>
      <c r="C172">
        <v>4</v>
      </c>
      <c r="D172" t="s">
        <v>45</v>
      </c>
      <c r="E172" t="str">
        <f>'CUMPLIMIENTO GUARDIAS'!J172</f>
        <v>C</v>
      </c>
      <c r="F172" s="34">
        <f>'CUMPLIMIENTO GUARDIAS'!I172</f>
        <v>1</v>
      </c>
      <c r="G172" t="str">
        <f>'CUMPLIMIENTO GUARDIAS'!E172</f>
        <v>C</v>
      </c>
      <c r="H172" t="str">
        <f>'CUMPLIMIENTO GUARDIAS'!F172</f>
        <v>C</v>
      </c>
      <c r="I172" t="str">
        <f>'CUMPLIMIENTO GUARDIAS'!G172</f>
        <v>C</v>
      </c>
      <c r="J172">
        <f>--(C172&lt;=MATCH('DASHBOARD AVANZADO'!$G$3,'DASHBOARD AVANZADO'!$Q$1:$Q$12,0))</f>
        <v>1</v>
      </c>
      <c r="K172">
        <f t="shared" si="2"/>
        <v>1</v>
      </c>
      <c r="L172">
        <v>172</v>
      </c>
    </row>
    <row r="173" spans="1:12" x14ac:dyDescent="0.25">
      <c r="A173" t="s">
        <v>65</v>
      </c>
      <c r="B173" t="s">
        <v>10</v>
      </c>
      <c r="C173">
        <v>5</v>
      </c>
      <c r="D173" t="s">
        <v>46</v>
      </c>
      <c r="E173" t="str">
        <f>'CUMPLIMIENTO GUARDIAS'!J173</f>
        <v>C</v>
      </c>
      <c r="F173" s="34">
        <f>'CUMPLIMIENTO GUARDIAS'!I173</f>
        <v>1</v>
      </c>
      <c r="G173" t="str">
        <f>'CUMPLIMIENTO GUARDIAS'!E173</f>
        <v>C</v>
      </c>
      <c r="H173" t="str">
        <f>'CUMPLIMIENTO GUARDIAS'!F173</f>
        <v>C</v>
      </c>
      <c r="I173" t="str">
        <f>'CUMPLIMIENTO GUARDIAS'!G173</f>
        <v>C</v>
      </c>
      <c r="J173">
        <f>--(C173&lt;=MATCH('DASHBOARD AVANZADO'!$G$3,'DASHBOARD AVANZADO'!$Q$1:$Q$12,0))</f>
        <v>1</v>
      </c>
      <c r="K173">
        <f t="shared" si="2"/>
        <v>1</v>
      </c>
      <c r="L173">
        <v>173</v>
      </c>
    </row>
    <row r="174" spans="1:12" x14ac:dyDescent="0.25">
      <c r="A174" t="s">
        <v>65</v>
      </c>
      <c r="B174" t="s">
        <v>10</v>
      </c>
      <c r="C174">
        <v>5</v>
      </c>
      <c r="D174" t="s">
        <v>47</v>
      </c>
      <c r="E174" t="str">
        <f>'CUMPLIMIENTO GUARDIAS'!J174</f>
        <v>C</v>
      </c>
      <c r="F174" s="34">
        <f>'CUMPLIMIENTO GUARDIAS'!I174</f>
        <v>1</v>
      </c>
      <c r="G174" t="str">
        <f>'CUMPLIMIENTO GUARDIAS'!E174</f>
        <v>C</v>
      </c>
      <c r="H174" t="str">
        <f>'CUMPLIMIENTO GUARDIAS'!F174</f>
        <v>C</v>
      </c>
      <c r="I174" t="str">
        <f>'CUMPLIMIENTO GUARDIAS'!G174</f>
        <v>C</v>
      </c>
      <c r="J174">
        <f>--(C174&lt;=MATCH('DASHBOARD AVANZADO'!$G$3,'DASHBOARD AVANZADO'!$Q$1:$Q$12,0))</f>
        <v>1</v>
      </c>
      <c r="K174">
        <f t="shared" si="2"/>
        <v>1</v>
      </c>
      <c r="L174">
        <v>174</v>
      </c>
    </row>
    <row r="175" spans="1:12" x14ac:dyDescent="0.25">
      <c r="A175" t="s">
        <v>65</v>
      </c>
      <c r="B175" t="s">
        <v>11</v>
      </c>
      <c r="C175">
        <v>6</v>
      </c>
      <c r="D175" t="s">
        <v>20</v>
      </c>
      <c r="E175" t="str">
        <f>'CUMPLIMIENTO GUARDIAS'!J175</f>
        <v>C</v>
      </c>
      <c r="F175" s="34">
        <f>'CUMPLIMIENTO GUARDIAS'!I175</f>
        <v>1</v>
      </c>
      <c r="G175" t="str">
        <f>'CUMPLIMIENTO GUARDIAS'!E175</f>
        <v>C</v>
      </c>
      <c r="H175" t="str">
        <f>'CUMPLIMIENTO GUARDIAS'!F175</f>
        <v>C</v>
      </c>
      <c r="I175" t="str">
        <f>'CUMPLIMIENTO GUARDIAS'!G175</f>
        <v>C</v>
      </c>
      <c r="J175">
        <f>--(C175&lt;=MATCH('DASHBOARD AVANZADO'!$G$3,'DASHBOARD AVANZADO'!$Q$1:$Q$12,0))</f>
        <v>1</v>
      </c>
      <c r="K175">
        <f t="shared" si="2"/>
        <v>1</v>
      </c>
      <c r="L175">
        <v>175</v>
      </c>
    </row>
    <row r="176" spans="1:12" x14ac:dyDescent="0.25">
      <c r="A176" t="s">
        <v>65</v>
      </c>
      <c r="B176" t="s">
        <v>11</v>
      </c>
      <c r="C176">
        <v>6</v>
      </c>
      <c r="D176" t="s">
        <v>48</v>
      </c>
      <c r="E176" t="str">
        <f>'CUMPLIMIENTO GUARDIAS'!J176</f>
        <v>C</v>
      </c>
      <c r="F176" s="34">
        <f>'CUMPLIMIENTO GUARDIAS'!I176</f>
        <v>1</v>
      </c>
      <c r="G176" t="str">
        <f>'CUMPLIMIENTO GUARDIAS'!E176</f>
        <v>C</v>
      </c>
      <c r="H176" t="str">
        <f>'CUMPLIMIENTO GUARDIAS'!F176</f>
        <v>C</v>
      </c>
      <c r="I176" t="str">
        <f>'CUMPLIMIENTO GUARDIAS'!G176</f>
        <v>C</v>
      </c>
      <c r="J176">
        <f>--(C176&lt;=MATCH('DASHBOARD AVANZADO'!$G$3,'DASHBOARD AVANZADO'!$Q$1:$Q$12,0))</f>
        <v>1</v>
      </c>
      <c r="K176">
        <f t="shared" si="2"/>
        <v>1</v>
      </c>
      <c r="L176">
        <v>176</v>
      </c>
    </row>
    <row r="177" spans="1:12" x14ac:dyDescent="0.25">
      <c r="A177" t="s">
        <v>65</v>
      </c>
      <c r="B177" t="s">
        <v>11</v>
      </c>
      <c r="C177">
        <v>6</v>
      </c>
      <c r="D177" t="s">
        <v>49</v>
      </c>
      <c r="E177" t="str">
        <f>'CUMPLIMIENTO GUARDIAS'!J177</f>
        <v>F</v>
      </c>
      <c r="F177" s="34">
        <f>'CUMPLIMIENTO GUARDIAS'!I177</f>
        <v>0</v>
      </c>
      <c r="G177" t="str">
        <f>'CUMPLIMIENTO GUARDIAS'!E177</f>
        <v>F</v>
      </c>
      <c r="H177" t="str">
        <f>'CUMPLIMIENTO GUARDIAS'!F177</f>
        <v>F</v>
      </c>
      <c r="I177" t="str">
        <f>'CUMPLIMIENTO GUARDIAS'!G177</f>
        <v>F</v>
      </c>
      <c r="J177">
        <f>--(C177&lt;=MATCH('DASHBOARD AVANZADO'!$G$3,'DASHBOARD AVANZADO'!$Q$1:$Q$12,0))</f>
        <v>1</v>
      </c>
      <c r="K177">
        <f t="shared" si="2"/>
        <v>0</v>
      </c>
      <c r="L177">
        <v>177</v>
      </c>
    </row>
    <row r="178" spans="1:12" x14ac:dyDescent="0.25">
      <c r="A178" t="s">
        <v>65</v>
      </c>
      <c r="B178" t="s">
        <v>12</v>
      </c>
      <c r="C178">
        <v>7</v>
      </c>
      <c r="D178" t="s">
        <v>38</v>
      </c>
      <c r="E178" t="str">
        <f>'CUMPLIMIENTO GUARDIAS'!J178</f>
        <v>C</v>
      </c>
      <c r="F178" s="34">
        <f>'CUMPLIMIENTO GUARDIAS'!I178</f>
        <v>1</v>
      </c>
      <c r="G178" t="str">
        <f>'CUMPLIMIENTO GUARDIAS'!E178</f>
        <v>C</v>
      </c>
      <c r="H178" t="str">
        <f>'CUMPLIMIENTO GUARDIAS'!F178</f>
        <v>C</v>
      </c>
      <c r="I178" t="str">
        <f>'CUMPLIMIENTO GUARDIAS'!G178</f>
        <v>C</v>
      </c>
      <c r="J178">
        <f>--(C178&lt;=MATCH('DASHBOARD AVANZADO'!$G$3,'DASHBOARD AVANZADO'!$Q$1:$Q$12,0))</f>
        <v>1</v>
      </c>
      <c r="K178">
        <f t="shared" si="2"/>
        <v>1</v>
      </c>
      <c r="L178">
        <v>178</v>
      </c>
    </row>
    <row r="179" spans="1:12" x14ac:dyDescent="0.25">
      <c r="A179" t="s">
        <v>65</v>
      </c>
      <c r="B179" t="s">
        <v>12</v>
      </c>
      <c r="C179">
        <v>7</v>
      </c>
      <c r="D179" t="s">
        <v>87</v>
      </c>
      <c r="E179" t="str">
        <f>'CUMPLIMIENTO GUARDIAS'!J179</f>
        <v>F</v>
      </c>
      <c r="F179" s="34">
        <f>'CUMPLIMIENTO GUARDIAS'!I179</f>
        <v>0</v>
      </c>
      <c r="G179">
        <f>'CUMPLIMIENTO GUARDIAS'!E179</f>
        <v>0</v>
      </c>
      <c r="H179">
        <f>'CUMPLIMIENTO GUARDIAS'!F179</f>
        <v>0</v>
      </c>
      <c r="I179">
        <f>'CUMPLIMIENTO GUARDIAS'!G179</f>
        <v>0</v>
      </c>
      <c r="J179">
        <f>--(C179&lt;=MATCH('DASHBOARD AVANZADO'!$G$3,'DASHBOARD AVANZADO'!$Q$1:$Q$12,0))</f>
        <v>1</v>
      </c>
      <c r="K179">
        <f t="shared" si="2"/>
        <v>0</v>
      </c>
      <c r="L179">
        <v>179</v>
      </c>
    </row>
    <row r="180" spans="1:12" x14ac:dyDescent="0.25">
      <c r="A180" t="s">
        <v>65</v>
      </c>
      <c r="B180" t="s">
        <v>12</v>
      </c>
      <c r="C180">
        <v>7</v>
      </c>
      <c r="D180" t="s">
        <v>51</v>
      </c>
      <c r="E180" t="str">
        <f>'CUMPLIMIENTO GUARDIAS'!J180</f>
        <v>EP</v>
      </c>
      <c r="F180" s="34">
        <f>'CUMPLIMIENTO GUARDIAS'!I180</f>
        <v>0</v>
      </c>
      <c r="G180" t="str">
        <f>'CUMPLIMIENTO GUARDIAS'!E180</f>
        <v>EP</v>
      </c>
      <c r="H180" t="str">
        <f>'CUMPLIMIENTO GUARDIAS'!F180</f>
        <v>EP</v>
      </c>
      <c r="I180" t="str">
        <f>'CUMPLIMIENTO GUARDIAS'!G180</f>
        <v>EP</v>
      </c>
      <c r="J180">
        <f>--(C180&lt;=MATCH('DASHBOARD AVANZADO'!$G$3,'DASHBOARD AVANZADO'!$Q$1:$Q$12,0))</f>
        <v>1</v>
      </c>
      <c r="K180">
        <f t="shared" si="2"/>
        <v>0</v>
      </c>
      <c r="L180">
        <v>180</v>
      </c>
    </row>
    <row r="181" spans="1:12" x14ac:dyDescent="0.25">
      <c r="A181" t="s">
        <v>65</v>
      </c>
      <c r="B181" t="s">
        <v>13</v>
      </c>
      <c r="C181">
        <v>8</v>
      </c>
      <c r="D181" t="s">
        <v>52</v>
      </c>
      <c r="E181">
        <f>'CUMPLIMIENTO GUARDIAS'!J181</f>
        <v>0</v>
      </c>
      <c r="F181" s="34">
        <f>'CUMPLIMIENTO GUARDIAS'!I181</f>
        <v>0</v>
      </c>
      <c r="G181">
        <f>'CUMPLIMIENTO GUARDIAS'!E181</f>
        <v>0</v>
      </c>
      <c r="H181">
        <f>'CUMPLIMIENTO GUARDIAS'!F181</f>
        <v>0</v>
      </c>
      <c r="I181">
        <f>'CUMPLIMIENTO GUARDIAS'!G181</f>
        <v>0</v>
      </c>
      <c r="J181">
        <f>--(C181&lt;=MATCH('DASHBOARD AVANZADO'!$G$3,'DASHBOARD AVANZADO'!$Q$1:$Q$12,0))</f>
        <v>0</v>
      </c>
      <c r="K181">
        <f t="shared" si="2"/>
        <v>0</v>
      </c>
      <c r="L181">
        <v>181</v>
      </c>
    </row>
    <row r="182" spans="1:12" x14ac:dyDescent="0.25">
      <c r="A182" t="s">
        <v>65</v>
      </c>
      <c r="B182" t="s">
        <v>13</v>
      </c>
      <c r="C182">
        <v>8</v>
      </c>
      <c r="D182" t="s">
        <v>53</v>
      </c>
      <c r="E182">
        <f>'CUMPLIMIENTO GUARDIAS'!J182</f>
        <v>0</v>
      </c>
      <c r="F182" s="34">
        <f>'CUMPLIMIENTO GUARDIAS'!I182</f>
        <v>0</v>
      </c>
      <c r="G182">
        <f>'CUMPLIMIENTO GUARDIAS'!E182</f>
        <v>0</v>
      </c>
      <c r="H182">
        <f>'CUMPLIMIENTO GUARDIAS'!F182</f>
        <v>0</v>
      </c>
      <c r="I182">
        <f>'CUMPLIMIENTO GUARDIAS'!G182</f>
        <v>0</v>
      </c>
      <c r="J182">
        <f>--(C182&lt;=MATCH('DASHBOARD AVANZADO'!$G$3,'DASHBOARD AVANZADO'!$Q$1:$Q$12,0))</f>
        <v>0</v>
      </c>
      <c r="K182">
        <f t="shared" si="2"/>
        <v>0</v>
      </c>
      <c r="L182">
        <v>182</v>
      </c>
    </row>
    <row r="183" spans="1:12" x14ac:dyDescent="0.25">
      <c r="A183" t="s">
        <v>65</v>
      </c>
      <c r="B183" t="s">
        <v>13</v>
      </c>
      <c r="C183">
        <v>8</v>
      </c>
      <c r="D183" t="s">
        <v>54</v>
      </c>
      <c r="E183">
        <f>'CUMPLIMIENTO GUARDIAS'!J183</f>
        <v>0</v>
      </c>
      <c r="F183" s="34">
        <f>'CUMPLIMIENTO GUARDIAS'!I183</f>
        <v>0</v>
      </c>
      <c r="G183">
        <f>'CUMPLIMIENTO GUARDIAS'!E183</f>
        <v>0</v>
      </c>
      <c r="H183">
        <f>'CUMPLIMIENTO GUARDIAS'!F183</f>
        <v>0</v>
      </c>
      <c r="I183">
        <f>'CUMPLIMIENTO GUARDIAS'!G183</f>
        <v>0</v>
      </c>
      <c r="J183">
        <f>--(C183&lt;=MATCH('DASHBOARD AVANZADO'!$G$3,'DASHBOARD AVANZADO'!$Q$1:$Q$12,0))</f>
        <v>0</v>
      </c>
      <c r="K183">
        <f t="shared" si="2"/>
        <v>0</v>
      </c>
      <c r="L183">
        <v>183</v>
      </c>
    </row>
    <row r="184" spans="1:12" x14ac:dyDescent="0.25">
      <c r="A184" t="s">
        <v>65</v>
      </c>
      <c r="B184" t="s">
        <v>14</v>
      </c>
      <c r="C184">
        <v>9</v>
      </c>
      <c r="D184" t="s">
        <v>55</v>
      </c>
      <c r="E184">
        <f>'CUMPLIMIENTO GUARDIAS'!J184</f>
        <v>0</v>
      </c>
      <c r="F184" s="34">
        <f>'CUMPLIMIENTO GUARDIAS'!I184</f>
        <v>0</v>
      </c>
      <c r="G184">
        <f>'CUMPLIMIENTO GUARDIAS'!E184</f>
        <v>0</v>
      </c>
      <c r="H184">
        <f>'CUMPLIMIENTO GUARDIAS'!F184</f>
        <v>0</v>
      </c>
      <c r="I184">
        <f>'CUMPLIMIENTO GUARDIAS'!G184</f>
        <v>0</v>
      </c>
      <c r="J184">
        <f>--(C184&lt;=MATCH('DASHBOARD AVANZADO'!$G$3,'DASHBOARD AVANZADO'!$Q$1:$Q$12,0))</f>
        <v>0</v>
      </c>
      <c r="K184">
        <f t="shared" si="2"/>
        <v>0</v>
      </c>
      <c r="L184">
        <v>184</v>
      </c>
    </row>
    <row r="185" spans="1:12" x14ac:dyDescent="0.25">
      <c r="A185" t="s">
        <v>65</v>
      </c>
      <c r="B185" t="s">
        <v>14</v>
      </c>
      <c r="C185">
        <v>9</v>
      </c>
      <c r="D185" t="s">
        <v>56</v>
      </c>
      <c r="E185">
        <f>'CUMPLIMIENTO GUARDIAS'!J185</f>
        <v>0</v>
      </c>
      <c r="F185" s="34">
        <f>'CUMPLIMIENTO GUARDIAS'!I185</f>
        <v>0</v>
      </c>
      <c r="G185">
        <f>'CUMPLIMIENTO GUARDIAS'!E185</f>
        <v>0</v>
      </c>
      <c r="H185">
        <f>'CUMPLIMIENTO GUARDIAS'!F185</f>
        <v>0</v>
      </c>
      <c r="I185">
        <f>'CUMPLIMIENTO GUARDIAS'!G185</f>
        <v>0</v>
      </c>
      <c r="J185">
        <f>--(C185&lt;=MATCH('DASHBOARD AVANZADO'!$G$3,'DASHBOARD AVANZADO'!$Q$1:$Q$12,0))</f>
        <v>0</v>
      </c>
      <c r="K185">
        <f t="shared" si="2"/>
        <v>0</v>
      </c>
      <c r="L185">
        <v>185</v>
      </c>
    </row>
    <row r="186" spans="1:12" x14ac:dyDescent="0.25">
      <c r="A186" t="s">
        <v>65</v>
      </c>
      <c r="B186" t="s">
        <v>15</v>
      </c>
      <c r="C186">
        <v>10</v>
      </c>
      <c r="D186" t="s">
        <v>20</v>
      </c>
      <c r="E186">
        <f>'CUMPLIMIENTO GUARDIAS'!J186</f>
        <v>0</v>
      </c>
      <c r="F186" s="34">
        <f>'CUMPLIMIENTO GUARDIAS'!I186</f>
        <v>0</v>
      </c>
      <c r="G186">
        <f>'CUMPLIMIENTO GUARDIAS'!E186</f>
        <v>0</v>
      </c>
      <c r="H186">
        <f>'CUMPLIMIENTO GUARDIAS'!F186</f>
        <v>0</v>
      </c>
      <c r="I186">
        <f>'CUMPLIMIENTO GUARDIAS'!G186</f>
        <v>0</v>
      </c>
      <c r="J186">
        <f>--(C186&lt;=MATCH('DASHBOARD AVANZADO'!$G$3,'DASHBOARD AVANZADO'!$Q$1:$Q$12,0))</f>
        <v>0</v>
      </c>
      <c r="K186">
        <f t="shared" si="2"/>
        <v>0</v>
      </c>
      <c r="L186">
        <v>186</v>
      </c>
    </row>
    <row r="187" spans="1:12" x14ac:dyDescent="0.25">
      <c r="A187" t="s">
        <v>65</v>
      </c>
      <c r="B187" t="s">
        <v>15</v>
      </c>
      <c r="C187">
        <v>10</v>
      </c>
      <c r="D187" t="s">
        <v>42</v>
      </c>
      <c r="E187">
        <f>'CUMPLIMIENTO GUARDIAS'!J187</f>
        <v>0</v>
      </c>
      <c r="F187" s="34">
        <f>'CUMPLIMIENTO GUARDIAS'!I187</f>
        <v>0</v>
      </c>
      <c r="G187">
        <f>'CUMPLIMIENTO GUARDIAS'!E187</f>
        <v>0</v>
      </c>
      <c r="H187">
        <f>'CUMPLIMIENTO GUARDIAS'!F187</f>
        <v>0</v>
      </c>
      <c r="I187">
        <f>'CUMPLIMIENTO GUARDIAS'!G187</f>
        <v>0</v>
      </c>
      <c r="J187">
        <f>--(C187&lt;=MATCH('DASHBOARD AVANZADO'!$G$3,'DASHBOARD AVANZADO'!$Q$1:$Q$12,0))</f>
        <v>0</v>
      </c>
      <c r="K187">
        <f t="shared" si="2"/>
        <v>0</v>
      </c>
      <c r="L187">
        <v>187</v>
      </c>
    </row>
    <row r="188" spans="1:12" x14ac:dyDescent="0.25">
      <c r="A188" t="s">
        <v>65</v>
      </c>
      <c r="B188" t="s">
        <v>16</v>
      </c>
      <c r="C188">
        <v>11</v>
      </c>
      <c r="D188" t="s">
        <v>57</v>
      </c>
      <c r="E188">
        <f>'CUMPLIMIENTO GUARDIAS'!J188</f>
        <v>0</v>
      </c>
      <c r="F188" s="34">
        <f>'CUMPLIMIENTO GUARDIAS'!I188</f>
        <v>0</v>
      </c>
      <c r="G188">
        <f>'CUMPLIMIENTO GUARDIAS'!E188</f>
        <v>0</v>
      </c>
      <c r="H188">
        <f>'CUMPLIMIENTO GUARDIAS'!F188</f>
        <v>0</v>
      </c>
      <c r="I188">
        <f>'CUMPLIMIENTO GUARDIAS'!G188</f>
        <v>0</v>
      </c>
      <c r="J188">
        <f>--(C188&lt;=MATCH('DASHBOARD AVANZADO'!$G$3,'DASHBOARD AVANZADO'!$Q$1:$Q$12,0))</f>
        <v>0</v>
      </c>
      <c r="K188">
        <f t="shared" si="2"/>
        <v>0</v>
      </c>
      <c r="L188">
        <v>188</v>
      </c>
    </row>
    <row r="189" spans="1:12" x14ac:dyDescent="0.25">
      <c r="A189" t="s">
        <v>65</v>
      </c>
      <c r="B189" t="s">
        <v>16</v>
      </c>
      <c r="C189">
        <v>11</v>
      </c>
      <c r="D189" t="s">
        <v>39</v>
      </c>
      <c r="E189">
        <f>'CUMPLIMIENTO GUARDIAS'!J189</f>
        <v>0</v>
      </c>
      <c r="F189" s="34">
        <f>'CUMPLIMIENTO GUARDIAS'!I189</f>
        <v>0</v>
      </c>
      <c r="G189">
        <f>'CUMPLIMIENTO GUARDIAS'!E189</f>
        <v>0</v>
      </c>
      <c r="H189">
        <f>'CUMPLIMIENTO GUARDIAS'!F189</f>
        <v>0</v>
      </c>
      <c r="I189">
        <f>'CUMPLIMIENTO GUARDIAS'!G189</f>
        <v>0</v>
      </c>
      <c r="J189">
        <f>--(C189&lt;=MATCH('DASHBOARD AVANZADO'!$G$3,'DASHBOARD AVANZADO'!$Q$1:$Q$12,0))</f>
        <v>0</v>
      </c>
      <c r="K189">
        <f t="shared" si="2"/>
        <v>0</v>
      </c>
      <c r="L189">
        <v>189</v>
      </c>
    </row>
    <row r="190" spans="1:12" x14ac:dyDescent="0.25">
      <c r="A190" t="s">
        <v>65</v>
      </c>
      <c r="B190" t="s">
        <v>17</v>
      </c>
      <c r="C190">
        <v>12</v>
      </c>
      <c r="D190" t="s">
        <v>38</v>
      </c>
      <c r="E190">
        <f>'CUMPLIMIENTO GUARDIAS'!J190</f>
        <v>0</v>
      </c>
      <c r="F190" s="34">
        <f>'CUMPLIMIENTO GUARDIAS'!I190</f>
        <v>0</v>
      </c>
      <c r="G190">
        <f>'CUMPLIMIENTO GUARDIAS'!E190</f>
        <v>0</v>
      </c>
      <c r="H190">
        <f>'CUMPLIMIENTO GUARDIAS'!F190</f>
        <v>0</v>
      </c>
      <c r="I190">
        <f>'CUMPLIMIENTO GUARDIAS'!G190</f>
        <v>0</v>
      </c>
      <c r="J190">
        <f>--(C190&lt;=MATCH('DASHBOARD AVANZADO'!$G$3,'DASHBOARD AVANZADO'!$Q$1:$Q$12,0))</f>
        <v>0</v>
      </c>
      <c r="K190">
        <f t="shared" si="2"/>
        <v>0</v>
      </c>
      <c r="L190">
        <v>190</v>
      </c>
    </row>
    <row r="191" spans="1:12" x14ac:dyDescent="0.25">
      <c r="A191" t="s">
        <v>66</v>
      </c>
      <c r="B191" t="s">
        <v>6</v>
      </c>
      <c r="C191">
        <v>1</v>
      </c>
      <c r="D191" t="s">
        <v>38</v>
      </c>
      <c r="E191" t="str">
        <f>'CUMPLIMIENTO GUARDIAS'!J191</f>
        <v>C</v>
      </c>
      <c r="F191" s="34">
        <f>'CUMPLIMIENTO GUARDIAS'!I191</f>
        <v>1</v>
      </c>
      <c r="G191" t="str">
        <f>'CUMPLIMIENTO GUARDIAS'!E191</f>
        <v>C</v>
      </c>
      <c r="H191" t="str">
        <f>'CUMPLIMIENTO GUARDIAS'!F191</f>
        <v>C</v>
      </c>
      <c r="I191" t="str">
        <f>'CUMPLIMIENTO GUARDIAS'!G191</f>
        <v>C</v>
      </c>
      <c r="J191">
        <f>--(C191&lt;=MATCH('DASHBOARD AVANZADO'!$G$3,'DASHBOARD AVANZADO'!$Q$1:$Q$12,0))</f>
        <v>1</v>
      </c>
      <c r="K191">
        <f t="shared" si="2"/>
        <v>1</v>
      </c>
      <c r="L191">
        <v>191</v>
      </c>
    </row>
    <row r="192" spans="1:12" x14ac:dyDescent="0.25">
      <c r="A192" t="s">
        <v>66</v>
      </c>
      <c r="B192" t="s">
        <v>6</v>
      </c>
      <c r="C192">
        <v>1</v>
      </c>
      <c r="D192" t="s">
        <v>39</v>
      </c>
      <c r="E192" t="str">
        <f>'CUMPLIMIENTO GUARDIAS'!J192</f>
        <v>C</v>
      </c>
      <c r="F192" s="34">
        <f>'CUMPLIMIENTO GUARDIAS'!I192</f>
        <v>1</v>
      </c>
      <c r="G192" t="str">
        <f>'CUMPLIMIENTO GUARDIAS'!E192</f>
        <v>C</v>
      </c>
      <c r="H192" t="str">
        <f>'CUMPLIMIENTO GUARDIAS'!F192</f>
        <v>C</v>
      </c>
      <c r="I192" t="str">
        <f>'CUMPLIMIENTO GUARDIAS'!G192</f>
        <v>C</v>
      </c>
      <c r="J192">
        <f>--(C192&lt;=MATCH('DASHBOARD AVANZADO'!$G$3,'DASHBOARD AVANZADO'!$Q$1:$Q$12,0))</f>
        <v>1</v>
      </c>
      <c r="K192">
        <f t="shared" si="2"/>
        <v>1</v>
      </c>
      <c r="L192">
        <v>192</v>
      </c>
    </row>
    <row r="193" spans="1:12" x14ac:dyDescent="0.25">
      <c r="A193" t="s">
        <v>66</v>
      </c>
      <c r="B193" t="s">
        <v>7</v>
      </c>
      <c r="C193">
        <v>2</v>
      </c>
      <c r="D193" t="s">
        <v>40</v>
      </c>
      <c r="E193" t="str">
        <f>'CUMPLIMIENTO GUARDIAS'!J193</f>
        <v>C</v>
      </c>
      <c r="F193" s="34">
        <f>'CUMPLIMIENTO GUARDIAS'!I193</f>
        <v>1</v>
      </c>
      <c r="G193" t="str">
        <f>'CUMPLIMIENTO GUARDIAS'!E193</f>
        <v>C</v>
      </c>
      <c r="H193" t="str">
        <f>'CUMPLIMIENTO GUARDIAS'!F193</f>
        <v>C</v>
      </c>
      <c r="I193" t="str">
        <f>'CUMPLIMIENTO GUARDIAS'!G193</f>
        <v>C</v>
      </c>
      <c r="J193">
        <f>--(C193&lt;=MATCH('DASHBOARD AVANZADO'!$G$3,'DASHBOARD AVANZADO'!$Q$1:$Q$12,0))</f>
        <v>1</v>
      </c>
      <c r="K193">
        <f t="shared" si="2"/>
        <v>1</v>
      </c>
      <c r="L193">
        <v>193</v>
      </c>
    </row>
    <row r="194" spans="1:12" x14ac:dyDescent="0.25">
      <c r="A194" t="s">
        <v>66</v>
      </c>
      <c r="B194" t="s">
        <v>7</v>
      </c>
      <c r="C194">
        <v>2</v>
      </c>
      <c r="D194" t="s">
        <v>20</v>
      </c>
      <c r="E194" t="str">
        <f>'CUMPLIMIENTO GUARDIAS'!J194</f>
        <v>C</v>
      </c>
      <c r="F194" s="34">
        <f>'CUMPLIMIENTO GUARDIAS'!I194</f>
        <v>1</v>
      </c>
      <c r="G194" t="str">
        <f>'CUMPLIMIENTO GUARDIAS'!E194</f>
        <v>C</v>
      </c>
      <c r="H194" t="str">
        <f>'CUMPLIMIENTO GUARDIAS'!F194</f>
        <v>C</v>
      </c>
      <c r="I194" t="str">
        <f>'CUMPLIMIENTO GUARDIAS'!G194</f>
        <v>C</v>
      </c>
      <c r="J194">
        <f>--(C194&lt;=MATCH('DASHBOARD AVANZADO'!$G$3,'DASHBOARD AVANZADO'!$Q$1:$Q$12,0))</f>
        <v>1</v>
      </c>
      <c r="K194">
        <f t="shared" ref="K194:K257" si="3">IF(E194="C",1,0)</f>
        <v>1</v>
      </c>
      <c r="L194">
        <v>194</v>
      </c>
    </row>
    <row r="195" spans="1:12" x14ac:dyDescent="0.25">
      <c r="A195" t="s">
        <v>66</v>
      </c>
      <c r="B195" t="s">
        <v>8</v>
      </c>
      <c r="C195">
        <v>3</v>
      </c>
      <c r="D195" t="s">
        <v>41</v>
      </c>
      <c r="E195" t="str">
        <f>'CUMPLIMIENTO GUARDIAS'!J195</f>
        <v>C</v>
      </c>
      <c r="F195" s="34">
        <f>'CUMPLIMIENTO GUARDIAS'!I195</f>
        <v>1</v>
      </c>
      <c r="G195" t="str">
        <f>'CUMPLIMIENTO GUARDIAS'!E195</f>
        <v>C</v>
      </c>
      <c r="H195" t="str">
        <f>'CUMPLIMIENTO GUARDIAS'!F195</f>
        <v>C</v>
      </c>
      <c r="I195" t="str">
        <f>'CUMPLIMIENTO GUARDIAS'!G195</f>
        <v>C</v>
      </c>
      <c r="J195">
        <f>--(C195&lt;=MATCH('DASHBOARD AVANZADO'!$G$3,'DASHBOARD AVANZADO'!$Q$1:$Q$12,0))</f>
        <v>1</v>
      </c>
      <c r="K195">
        <f t="shared" si="3"/>
        <v>1</v>
      </c>
      <c r="L195">
        <v>195</v>
      </c>
    </row>
    <row r="196" spans="1:12" x14ac:dyDescent="0.25">
      <c r="A196" t="s">
        <v>66</v>
      </c>
      <c r="B196" t="s">
        <v>8</v>
      </c>
      <c r="C196">
        <v>3</v>
      </c>
      <c r="D196" t="s">
        <v>42</v>
      </c>
      <c r="E196" t="str">
        <f>'CUMPLIMIENTO GUARDIAS'!J196</f>
        <v>C</v>
      </c>
      <c r="F196" s="34">
        <f>'CUMPLIMIENTO GUARDIAS'!I196</f>
        <v>1</v>
      </c>
      <c r="G196" t="str">
        <f>'CUMPLIMIENTO GUARDIAS'!E196</f>
        <v>C</v>
      </c>
      <c r="H196" t="str">
        <f>'CUMPLIMIENTO GUARDIAS'!F196</f>
        <v>C</v>
      </c>
      <c r="I196" t="str">
        <f>'CUMPLIMIENTO GUARDIAS'!G196</f>
        <v>C</v>
      </c>
      <c r="J196">
        <f>--(C196&lt;=MATCH('DASHBOARD AVANZADO'!$G$3,'DASHBOARD AVANZADO'!$Q$1:$Q$12,0))</f>
        <v>1</v>
      </c>
      <c r="K196">
        <f t="shared" si="3"/>
        <v>1</v>
      </c>
      <c r="L196">
        <v>196</v>
      </c>
    </row>
    <row r="197" spans="1:12" x14ac:dyDescent="0.25">
      <c r="A197" t="s">
        <v>66</v>
      </c>
      <c r="B197" t="s">
        <v>9</v>
      </c>
      <c r="C197">
        <v>4</v>
      </c>
      <c r="D197" t="s">
        <v>43</v>
      </c>
      <c r="E197" t="str">
        <f>'CUMPLIMIENTO GUARDIAS'!J197</f>
        <v>C</v>
      </c>
      <c r="F197" s="34">
        <f>'CUMPLIMIENTO GUARDIAS'!I197</f>
        <v>1</v>
      </c>
      <c r="G197" t="str">
        <f>'CUMPLIMIENTO GUARDIAS'!E197</f>
        <v>C</v>
      </c>
      <c r="H197" t="str">
        <f>'CUMPLIMIENTO GUARDIAS'!F197</f>
        <v>C</v>
      </c>
      <c r="I197" t="str">
        <f>'CUMPLIMIENTO GUARDIAS'!G197</f>
        <v>C</v>
      </c>
      <c r="J197">
        <f>--(C197&lt;=MATCH('DASHBOARD AVANZADO'!$G$3,'DASHBOARD AVANZADO'!$Q$1:$Q$12,0))</f>
        <v>1</v>
      </c>
      <c r="K197">
        <f t="shared" si="3"/>
        <v>1</v>
      </c>
      <c r="L197">
        <v>197</v>
      </c>
    </row>
    <row r="198" spans="1:12" x14ac:dyDescent="0.25">
      <c r="A198" t="s">
        <v>66</v>
      </c>
      <c r="B198" t="s">
        <v>9</v>
      </c>
      <c r="C198">
        <v>4</v>
      </c>
      <c r="D198" t="s">
        <v>44</v>
      </c>
      <c r="E198" t="str">
        <f>'CUMPLIMIENTO GUARDIAS'!J198</f>
        <v>C</v>
      </c>
      <c r="F198" s="34">
        <f>'CUMPLIMIENTO GUARDIAS'!I198</f>
        <v>1</v>
      </c>
      <c r="G198" t="str">
        <f>'CUMPLIMIENTO GUARDIAS'!E198</f>
        <v>C</v>
      </c>
      <c r="H198" t="str">
        <f>'CUMPLIMIENTO GUARDIAS'!F198</f>
        <v>C</v>
      </c>
      <c r="I198" t="str">
        <f>'CUMPLIMIENTO GUARDIAS'!G198</f>
        <v>C</v>
      </c>
      <c r="J198">
        <f>--(C198&lt;=MATCH('DASHBOARD AVANZADO'!$G$3,'DASHBOARD AVANZADO'!$Q$1:$Q$12,0))</f>
        <v>1</v>
      </c>
      <c r="K198">
        <f t="shared" si="3"/>
        <v>1</v>
      </c>
      <c r="L198">
        <v>198</v>
      </c>
    </row>
    <row r="199" spans="1:12" x14ac:dyDescent="0.25">
      <c r="A199" t="s">
        <v>66</v>
      </c>
      <c r="B199" t="s">
        <v>9</v>
      </c>
      <c r="C199">
        <v>4</v>
      </c>
      <c r="D199" t="s">
        <v>45</v>
      </c>
      <c r="E199" t="str">
        <f>'CUMPLIMIENTO GUARDIAS'!J199</f>
        <v>C</v>
      </c>
      <c r="F199" s="34">
        <f>'CUMPLIMIENTO GUARDIAS'!I199</f>
        <v>1</v>
      </c>
      <c r="G199" t="str">
        <f>'CUMPLIMIENTO GUARDIAS'!E199</f>
        <v>C</v>
      </c>
      <c r="H199" t="str">
        <f>'CUMPLIMIENTO GUARDIAS'!F199</f>
        <v>C</v>
      </c>
      <c r="I199" t="str">
        <f>'CUMPLIMIENTO GUARDIAS'!G199</f>
        <v>C</v>
      </c>
      <c r="J199">
        <f>--(C199&lt;=MATCH('DASHBOARD AVANZADO'!$G$3,'DASHBOARD AVANZADO'!$Q$1:$Q$12,0))</f>
        <v>1</v>
      </c>
      <c r="K199">
        <f t="shared" si="3"/>
        <v>1</v>
      </c>
      <c r="L199">
        <v>199</v>
      </c>
    </row>
    <row r="200" spans="1:12" x14ac:dyDescent="0.25">
      <c r="A200" t="s">
        <v>66</v>
      </c>
      <c r="B200" t="s">
        <v>10</v>
      </c>
      <c r="C200">
        <v>5</v>
      </c>
      <c r="D200" t="s">
        <v>46</v>
      </c>
      <c r="E200" t="str">
        <f>'CUMPLIMIENTO GUARDIAS'!J200</f>
        <v>C</v>
      </c>
      <c r="F200" s="34">
        <f>'CUMPLIMIENTO GUARDIAS'!I200</f>
        <v>1</v>
      </c>
      <c r="G200" t="str">
        <f>'CUMPLIMIENTO GUARDIAS'!E200</f>
        <v>C</v>
      </c>
      <c r="H200" t="str">
        <f>'CUMPLIMIENTO GUARDIAS'!F200</f>
        <v>C</v>
      </c>
      <c r="I200" t="str">
        <f>'CUMPLIMIENTO GUARDIAS'!G200</f>
        <v>C</v>
      </c>
      <c r="J200">
        <f>--(C200&lt;=MATCH('DASHBOARD AVANZADO'!$G$3,'DASHBOARD AVANZADO'!$Q$1:$Q$12,0))</f>
        <v>1</v>
      </c>
      <c r="K200">
        <f t="shared" si="3"/>
        <v>1</v>
      </c>
      <c r="L200">
        <v>200</v>
      </c>
    </row>
    <row r="201" spans="1:12" x14ac:dyDescent="0.25">
      <c r="A201" t="s">
        <v>66</v>
      </c>
      <c r="B201" t="s">
        <v>10</v>
      </c>
      <c r="C201">
        <v>5</v>
      </c>
      <c r="D201" t="s">
        <v>47</v>
      </c>
      <c r="E201" t="str">
        <f>'CUMPLIMIENTO GUARDIAS'!J201</f>
        <v>C</v>
      </c>
      <c r="F201" s="34">
        <f>'CUMPLIMIENTO GUARDIAS'!I201</f>
        <v>1</v>
      </c>
      <c r="G201" t="str">
        <f>'CUMPLIMIENTO GUARDIAS'!E201</f>
        <v>C</v>
      </c>
      <c r="H201" t="str">
        <f>'CUMPLIMIENTO GUARDIAS'!F201</f>
        <v>C</v>
      </c>
      <c r="I201" t="str">
        <f>'CUMPLIMIENTO GUARDIAS'!G201</f>
        <v>C</v>
      </c>
      <c r="J201">
        <f>--(C201&lt;=MATCH('DASHBOARD AVANZADO'!$G$3,'DASHBOARD AVANZADO'!$Q$1:$Q$12,0))</f>
        <v>1</v>
      </c>
      <c r="K201">
        <f t="shared" si="3"/>
        <v>1</v>
      </c>
      <c r="L201">
        <v>201</v>
      </c>
    </row>
    <row r="202" spans="1:12" x14ac:dyDescent="0.25">
      <c r="A202" t="s">
        <v>66</v>
      </c>
      <c r="B202" t="s">
        <v>11</v>
      </c>
      <c r="C202">
        <v>6</v>
      </c>
      <c r="D202" t="s">
        <v>20</v>
      </c>
      <c r="E202" t="str">
        <f>'CUMPLIMIENTO GUARDIAS'!J202</f>
        <v>C</v>
      </c>
      <c r="F202" s="34">
        <f>'CUMPLIMIENTO GUARDIAS'!I202</f>
        <v>1</v>
      </c>
      <c r="G202" t="str">
        <f>'CUMPLIMIENTO GUARDIAS'!E202</f>
        <v>C</v>
      </c>
      <c r="H202" t="str">
        <f>'CUMPLIMIENTO GUARDIAS'!F202</f>
        <v>C</v>
      </c>
      <c r="I202" t="str">
        <f>'CUMPLIMIENTO GUARDIAS'!G202</f>
        <v>C</v>
      </c>
      <c r="J202">
        <f>--(C202&lt;=MATCH('DASHBOARD AVANZADO'!$G$3,'DASHBOARD AVANZADO'!$Q$1:$Q$12,0))</f>
        <v>1</v>
      </c>
      <c r="K202">
        <f t="shared" si="3"/>
        <v>1</v>
      </c>
      <c r="L202">
        <v>202</v>
      </c>
    </row>
    <row r="203" spans="1:12" x14ac:dyDescent="0.25">
      <c r="A203" t="s">
        <v>66</v>
      </c>
      <c r="B203" t="s">
        <v>11</v>
      </c>
      <c r="C203">
        <v>6</v>
      </c>
      <c r="D203" t="s">
        <v>48</v>
      </c>
      <c r="E203" t="str">
        <f>'CUMPLIMIENTO GUARDIAS'!J203</f>
        <v>C</v>
      </c>
      <c r="F203" s="34">
        <f>'CUMPLIMIENTO GUARDIAS'!I203</f>
        <v>1</v>
      </c>
      <c r="G203" t="str">
        <f>'CUMPLIMIENTO GUARDIAS'!E203</f>
        <v>C</v>
      </c>
      <c r="H203" t="str">
        <f>'CUMPLIMIENTO GUARDIAS'!F203</f>
        <v>C</v>
      </c>
      <c r="I203" t="str">
        <f>'CUMPLIMIENTO GUARDIAS'!G203</f>
        <v>C</v>
      </c>
      <c r="J203">
        <f>--(C203&lt;=MATCH('DASHBOARD AVANZADO'!$G$3,'DASHBOARD AVANZADO'!$Q$1:$Q$12,0))</f>
        <v>1</v>
      </c>
      <c r="K203">
        <f t="shared" si="3"/>
        <v>1</v>
      </c>
      <c r="L203">
        <v>203</v>
      </c>
    </row>
    <row r="204" spans="1:12" x14ac:dyDescent="0.25">
      <c r="A204" t="s">
        <v>66</v>
      </c>
      <c r="B204" t="s">
        <v>11</v>
      </c>
      <c r="C204">
        <v>6</v>
      </c>
      <c r="D204" t="s">
        <v>49</v>
      </c>
      <c r="E204" t="str">
        <f>'CUMPLIMIENTO GUARDIAS'!J204</f>
        <v>F</v>
      </c>
      <c r="F204" s="34">
        <f>'CUMPLIMIENTO GUARDIAS'!I204</f>
        <v>0</v>
      </c>
      <c r="G204" t="str">
        <f>'CUMPLIMIENTO GUARDIAS'!E204</f>
        <v>F</v>
      </c>
      <c r="H204" t="str">
        <f>'CUMPLIMIENTO GUARDIAS'!F204</f>
        <v>F</v>
      </c>
      <c r="I204" t="str">
        <f>'CUMPLIMIENTO GUARDIAS'!G204</f>
        <v>F</v>
      </c>
      <c r="J204">
        <f>--(C204&lt;=MATCH('DASHBOARD AVANZADO'!$G$3,'DASHBOARD AVANZADO'!$Q$1:$Q$12,0))</f>
        <v>1</v>
      </c>
      <c r="K204">
        <f t="shared" si="3"/>
        <v>0</v>
      </c>
      <c r="L204">
        <v>204</v>
      </c>
    </row>
    <row r="205" spans="1:12" x14ac:dyDescent="0.25">
      <c r="A205" t="s">
        <v>66</v>
      </c>
      <c r="B205" t="s">
        <v>12</v>
      </c>
      <c r="C205">
        <v>7</v>
      </c>
      <c r="D205" t="s">
        <v>38</v>
      </c>
      <c r="E205" t="str">
        <f>'CUMPLIMIENTO GUARDIAS'!J205</f>
        <v>C</v>
      </c>
      <c r="F205" s="34">
        <f>'CUMPLIMIENTO GUARDIAS'!I205</f>
        <v>1</v>
      </c>
      <c r="G205" t="str">
        <f>'CUMPLIMIENTO GUARDIAS'!E205</f>
        <v>C</v>
      </c>
      <c r="H205" t="str">
        <f>'CUMPLIMIENTO GUARDIAS'!F205</f>
        <v>C</v>
      </c>
      <c r="I205" t="str">
        <f>'CUMPLIMIENTO GUARDIAS'!G205</f>
        <v>C</v>
      </c>
      <c r="J205">
        <f>--(C205&lt;=MATCH('DASHBOARD AVANZADO'!$G$3,'DASHBOARD AVANZADO'!$Q$1:$Q$12,0))</f>
        <v>1</v>
      </c>
      <c r="K205">
        <f t="shared" si="3"/>
        <v>1</v>
      </c>
      <c r="L205">
        <v>205</v>
      </c>
    </row>
    <row r="206" spans="1:12" x14ac:dyDescent="0.25">
      <c r="A206" t="s">
        <v>66</v>
      </c>
      <c r="B206" t="s">
        <v>12</v>
      </c>
      <c r="C206">
        <v>7</v>
      </c>
      <c r="D206" t="s">
        <v>87</v>
      </c>
      <c r="E206" t="str">
        <f>'CUMPLIMIENTO GUARDIAS'!J206</f>
        <v>F</v>
      </c>
      <c r="F206" s="34">
        <f>'CUMPLIMIENTO GUARDIAS'!I206</f>
        <v>0</v>
      </c>
      <c r="G206">
        <f>'CUMPLIMIENTO GUARDIAS'!E206</f>
        <v>0</v>
      </c>
      <c r="H206">
        <f>'CUMPLIMIENTO GUARDIAS'!F206</f>
        <v>0</v>
      </c>
      <c r="I206">
        <f>'CUMPLIMIENTO GUARDIAS'!G206</f>
        <v>0</v>
      </c>
      <c r="J206">
        <f>--(C206&lt;=MATCH('DASHBOARD AVANZADO'!$G$3,'DASHBOARD AVANZADO'!$Q$1:$Q$12,0))</f>
        <v>1</v>
      </c>
      <c r="K206">
        <f t="shared" si="3"/>
        <v>0</v>
      </c>
      <c r="L206">
        <v>206</v>
      </c>
    </row>
    <row r="207" spans="1:12" x14ac:dyDescent="0.25">
      <c r="A207" t="s">
        <v>66</v>
      </c>
      <c r="B207" t="s">
        <v>12</v>
      </c>
      <c r="C207">
        <v>7</v>
      </c>
      <c r="D207" t="s">
        <v>51</v>
      </c>
      <c r="E207" t="str">
        <f>'CUMPLIMIENTO GUARDIAS'!J207</f>
        <v>EP</v>
      </c>
      <c r="F207" s="34">
        <f>'CUMPLIMIENTO GUARDIAS'!I207</f>
        <v>0</v>
      </c>
      <c r="G207" t="str">
        <f>'CUMPLIMIENTO GUARDIAS'!E207</f>
        <v>EP</v>
      </c>
      <c r="H207" t="str">
        <f>'CUMPLIMIENTO GUARDIAS'!F207</f>
        <v>EP</v>
      </c>
      <c r="I207" t="str">
        <f>'CUMPLIMIENTO GUARDIAS'!G207</f>
        <v>EP</v>
      </c>
      <c r="J207">
        <f>--(C207&lt;=MATCH('DASHBOARD AVANZADO'!$G$3,'DASHBOARD AVANZADO'!$Q$1:$Q$12,0))</f>
        <v>1</v>
      </c>
      <c r="K207">
        <f t="shared" si="3"/>
        <v>0</v>
      </c>
      <c r="L207">
        <v>207</v>
      </c>
    </row>
    <row r="208" spans="1:12" x14ac:dyDescent="0.25">
      <c r="A208" t="s">
        <v>66</v>
      </c>
      <c r="B208" t="s">
        <v>13</v>
      </c>
      <c r="C208">
        <v>8</v>
      </c>
      <c r="D208" t="s">
        <v>52</v>
      </c>
      <c r="E208">
        <f>'CUMPLIMIENTO GUARDIAS'!J208</f>
        <v>0</v>
      </c>
      <c r="F208" s="34">
        <f>'CUMPLIMIENTO GUARDIAS'!I208</f>
        <v>0</v>
      </c>
      <c r="G208">
        <f>'CUMPLIMIENTO GUARDIAS'!E208</f>
        <v>0</v>
      </c>
      <c r="H208">
        <f>'CUMPLIMIENTO GUARDIAS'!F208</f>
        <v>0</v>
      </c>
      <c r="I208">
        <f>'CUMPLIMIENTO GUARDIAS'!G208</f>
        <v>0</v>
      </c>
      <c r="J208">
        <f>--(C208&lt;=MATCH('DASHBOARD AVANZADO'!$G$3,'DASHBOARD AVANZADO'!$Q$1:$Q$12,0))</f>
        <v>0</v>
      </c>
      <c r="K208">
        <f t="shared" si="3"/>
        <v>0</v>
      </c>
      <c r="L208">
        <v>208</v>
      </c>
    </row>
    <row r="209" spans="1:12" x14ac:dyDescent="0.25">
      <c r="A209" t="s">
        <v>66</v>
      </c>
      <c r="B209" t="s">
        <v>13</v>
      </c>
      <c r="C209">
        <v>8</v>
      </c>
      <c r="D209" t="s">
        <v>53</v>
      </c>
      <c r="E209">
        <f>'CUMPLIMIENTO GUARDIAS'!J209</f>
        <v>0</v>
      </c>
      <c r="F209" s="34">
        <f>'CUMPLIMIENTO GUARDIAS'!I209</f>
        <v>0</v>
      </c>
      <c r="G209">
        <f>'CUMPLIMIENTO GUARDIAS'!E209</f>
        <v>0</v>
      </c>
      <c r="H209">
        <f>'CUMPLIMIENTO GUARDIAS'!F209</f>
        <v>0</v>
      </c>
      <c r="I209">
        <f>'CUMPLIMIENTO GUARDIAS'!G209</f>
        <v>0</v>
      </c>
      <c r="J209">
        <f>--(C209&lt;=MATCH('DASHBOARD AVANZADO'!$G$3,'DASHBOARD AVANZADO'!$Q$1:$Q$12,0))</f>
        <v>0</v>
      </c>
      <c r="K209">
        <f t="shared" si="3"/>
        <v>0</v>
      </c>
      <c r="L209">
        <v>209</v>
      </c>
    </row>
    <row r="210" spans="1:12" x14ac:dyDescent="0.25">
      <c r="A210" t="s">
        <v>66</v>
      </c>
      <c r="B210" t="s">
        <v>13</v>
      </c>
      <c r="C210">
        <v>8</v>
      </c>
      <c r="D210" t="s">
        <v>54</v>
      </c>
      <c r="E210">
        <f>'CUMPLIMIENTO GUARDIAS'!J210</f>
        <v>0</v>
      </c>
      <c r="F210" s="34">
        <f>'CUMPLIMIENTO GUARDIAS'!I210</f>
        <v>0</v>
      </c>
      <c r="G210">
        <f>'CUMPLIMIENTO GUARDIAS'!E210</f>
        <v>0</v>
      </c>
      <c r="H210">
        <f>'CUMPLIMIENTO GUARDIAS'!F210</f>
        <v>0</v>
      </c>
      <c r="I210">
        <f>'CUMPLIMIENTO GUARDIAS'!G210</f>
        <v>0</v>
      </c>
      <c r="J210">
        <f>--(C210&lt;=MATCH('DASHBOARD AVANZADO'!$G$3,'DASHBOARD AVANZADO'!$Q$1:$Q$12,0))</f>
        <v>0</v>
      </c>
      <c r="K210">
        <f t="shared" si="3"/>
        <v>0</v>
      </c>
      <c r="L210">
        <v>210</v>
      </c>
    </row>
    <row r="211" spans="1:12" x14ac:dyDescent="0.25">
      <c r="A211" t="s">
        <v>66</v>
      </c>
      <c r="B211" t="s">
        <v>14</v>
      </c>
      <c r="C211">
        <v>9</v>
      </c>
      <c r="D211" t="s">
        <v>55</v>
      </c>
      <c r="E211">
        <f>'CUMPLIMIENTO GUARDIAS'!J211</f>
        <v>0</v>
      </c>
      <c r="F211" s="34">
        <f>'CUMPLIMIENTO GUARDIAS'!I211</f>
        <v>0</v>
      </c>
      <c r="G211">
        <f>'CUMPLIMIENTO GUARDIAS'!E211</f>
        <v>0</v>
      </c>
      <c r="H211">
        <f>'CUMPLIMIENTO GUARDIAS'!F211</f>
        <v>0</v>
      </c>
      <c r="I211">
        <f>'CUMPLIMIENTO GUARDIAS'!G211</f>
        <v>0</v>
      </c>
      <c r="J211">
        <f>--(C211&lt;=MATCH('DASHBOARD AVANZADO'!$G$3,'DASHBOARD AVANZADO'!$Q$1:$Q$12,0))</f>
        <v>0</v>
      </c>
      <c r="K211">
        <f t="shared" si="3"/>
        <v>0</v>
      </c>
      <c r="L211">
        <v>211</v>
      </c>
    </row>
    <row r="212" spans="1:12" x14ac:dyDescent="0.25">
      <c r="A212" t="s">
        <v>66</v>
      </c>
      <c r="B212" t="s">
        <v>14</v>
      </c>
      <c r="C212">
        <v>9</v>
      </c>
      <c r="D212" t="s">
        <v>56</v>
      </c>
      <c r="E212">
        <f>'CUMPLIMIENTO GUARDIAS'!J212</f>
        <v>0</v>
      </c>
      <c r="F212" s="34">
        <f>'CUMPLIMIENTO GUARDIAS'!I212</f>
        <v>0</v>
      </c>
      <c r="G212">
        <f>'CUMPLIMIENTO GUARDIAS'!E212</f>
        <v>0</v>
      </c>
      <c r="H212">
        <f>'CUMPLIMIENTO GUARDIAS'!F212</f>
        <v>0</v>
      </c>
      <c r="I212">
        <f>'CUMPLIMIENTO GUARDIAS'!G212</f>
        <v>0</v>
      </c>
      <c r="J212">
        <f>--(C212&lt;=MATCH('DASHBOARD AVANZADO'!$G$3,'DASHBOARD AVANZADO'!$Q$1:$Q$12,0))</f>
        <v>0</v>
      </c>
      <c r="K212">
        <f t="shared" si="3"/>
        <v>0</v>
      </c>
      <c r="L212">
        <v>212</v>
      </c>
    </row>
    <row r="213" spans="1:12" x14ac:dyDescent="0.25">
      <c r="A213" t="s">
        <v>66</v>
      </c>
      <c r="B213" t="s">
        <v>15</v>
      </c>
      <c r="C213">
        <v>10</v>
      </c>
      <c r="D213" t="s">
        <v>20</v>
      </c>
      <c r="E213">
        <f>'CUMPLIMIENTO GUARDIAS'!J213</f>
        <v>0</v>
      </c>
      <c r="F213" s="34">
        <f>'CUMPLIMIENTO GUARDIAS'!I213</f>
        <v>0</v>
      </c>
      <c r="G213">
        <f>'CUMPLIMIENTO GUARDIAS'!E213</f>
        <v>0</v>
      </c>
      <c r="H213">
        <f>'CUMPLIMIENTO GUARDIAS'!F213</f>
        <v>0</v>
      </c>
      <c r="I213">
        <f>'CUMPLIMIENTO GUARDIAS'!G213</f>
        <v>0</v>
      </c>
      <c r="J213">
        <f>--(C213&lt;=MATCH('DASHBOARD AVANZADO'!$G$3,'DASHBOARD AVANZADO'!$Q$1:$Q$12,0))</f>
        <v>0</v>
      </c>
      <c r="K213">
        <f t="shared" si="3"/>
        <v>0</v>
      </c>
      <c r="L213">
        <v>213</v>
      </c>
    </row>
    <row r="214" spans="1:12" x14ac:dyDescent="0.25">
      <c r="A214" t="s">
        <v>66</v>
      </c>
      <c r="B214" t="s">
        <v>15</v>
      </c>
      <c r="C214">
        <v>10</v>
      </c>
      <c r="D214" t="s">
        <v>42</v>
      </c>
      <c r="E214">
        <f>'CUMPLIMIENTO GUARDIAS'!J214</f>
        <v>0</v>
      </c>
      <c r="F214" s="34">
        <f>'CUMPLIMIENTO GUARDIAS'!I214</f>
        <v>0</v>
      </c>
      <c r="G214">
        <f>'CUMPLIMIENTO GUARDIAS'!E214</f>
        <v>0</v>
      </c>
      <c r="H214">
        <f>'CUMPLIMIENTO GUARDIAS'!F214</f>
        <v>0</v>
      </c>
      <c r="I214">
        <f>'CUMPLIMIENTO GUARDIAS'!G214</f>
        <v>0</v>
      </c>
      <c r="J214">
        <f>--(C214&lt;=MATCH('DASHBOARD AVANZADO'!$G$3,'DASHBOARD AVANZADO'!$Q$1:$Q$12,0))</f>
        <v>0</v>
      </c>
      <c r="K214">
        <f t="shared" si="3"/>
        <v>0</v>
      </c>
      <c r="L214">
        <v>214</v>
      </c>
    </row>
    <row r="215" spans="1:12" x14ac:dyDescent="0.25">
      <c r="A215" t="s">
        <v>66</v>
      </c>
      <c r="B215" t="s">
        <v>16</v>
      </c>
      <c r="C215">
        <v>11</v>
      </c>
      <c r="D215" t="s">
        <v>57</v>
      </c>
      <c r="E215">
        <f>'CUMPLIMIENTO GUARDIAS'!J215</f>
        <v>0</v>
      </c>
      <c r="F215" s="34">
        <f>'CUMPLIMIENTO GUARDIAS'!I215</f>
        <v>0</v>
      </c>
      <c r="G215">
        <f>'CUMPLIMIENTO GUARDIAS'!E215</f>
        <v>0</v>
      </c>
      <c r="H215">
        <f>'CUMPLIMIENTO GUARDIAS'!F215</f>
        <v>0</v>
      </c>
      <c r="I215">
        <f>'CUMPLIMIENTO GUARDIAS'!G215</f>
        <v>0</v>
      </c>
      <c r="J215">
        <f>--(C215&lt;=MATCH('DASHBOARD AVANZADO'!$G$3,'DASHBOARD AVANZADO'!$Q$1:$Q$12,0))</f>
        <v>0</v>
      </c>
      <c r="K215">
        <f t="shared" si="3"/>
        <v>0</v>
      </c>
      <c r="L215">
        <v>215</v>
      </c>
    </row>
    <row r="216" spans="1:12" x14ac:dyDescent="0.25">
      <c r="A216" t="s">
        <v>66</v>
      </c>
      <c r="B216" t="s">
        <v>16</v>
      </c>
      <c r="C216">
        <v>11</v>
      </c>
      <c r="D216" t="s">
        <v>39</v>
      </c>
      <c r="E216">
        <f>'CUMPLIMIENTO GUARDIAS'!J216</f>
        <v>0</v>
      </c>
      <c r="F216" s="34">
        <f>'CUMPLIMIENTO GUARDIAS'!I216</f>
        <v>0</v>
      </c>
      <c r="G216">
        <f>'CUMPLIMIENTO GUARDIAS'!E216</f>
        <v>0</v>
      </c>
      <c r="H216">
        <f>'CUMPLIMIENTO GUARDIAS'!F216</f>
        <v>0</v>
      </c>
      <c r="I216">
        <f>'CUMPLIMIENTO GUARDIAS'!G216</f>
        <v>0</v>
      </c>
      <c r="J216">
        <f>--(C216&lt;=MATCH('DASHBOARD AVANZADO'!$G$3,'DASHBOARD AVANZADO'!$Q$1:$Q$12,0))</f>
        <v>0</v>
      </c>
      <c r="K216">
        <f t="shared" si="3"/>
        <v>0</v>
      </c>
      <c r="L216">
        <v>216</v>
      </c>
    </row>
    <row r="217" spans="1:12" x14ac:dyDescent="0.25">
      <c r="A217" t="s">
        <v>66</v>
      </c>
      <c r="B217" t="s">
        <v>17</v>
      </c>
      <c r="C217">
        <v>12</v>
      </c>
      <c r="D217" t="s">
        <v>38</v>
      </c>
      <c r="E217">
        <f>'CUMPLIMIENTO GUARDIAS'!J217</f>
        <v>0</v>
      </c>
      <c r="F217" s="34">
        <f>'CUMPLIMIENTO GUARDIAS'!I217</f>
        <v>0</v>
      </c>
      <c r="G217">
        <f>'CUMPLIMIENTO GUARDIAS'!E217</f>
        <v>0</v>
      </c>
      <c r="H217">
        <f>'CUMPLIMIENTO GUARDIAS'!F217</f>
        <v>0</v>
      </c>
      <c r="I217">
        <f>'CUMPLIMIENTO GUARDIAS'!G217</f>
        <v>0</v>
      </c>
      <c r="J217">
        <f>--(C217&lt;=MATCH('DASHBOARD AVANZADO'!$G$3,'DASHBOARD AVANZADO'!$Q$1:$Q$12,0))</f>
        <v>0</v>
      </c>
      <c r="K217">
        <f t="shared" si="3"/>
        <v>0</v>
      </c>
      <c r="L217">
        <v>217</v>
      </c>
    </row>
    <row r="218" spans="1:12" x14ac:dyDescent="0.25">
      <c r="A218" t="s">
        <v>67</v>
      </c>
      <c r="B218" t="s">
        <v>6</v>
      </c>
      <c r="C218">
        <v>1</v>
      </c>
      <c r="D218" t="s">
        <v>38</v>
      </c>
      <c r="E218" t="str">
        <f>'CUMPLIMIENTO GUARDIAS'!J218</f>
        <v>C</v>
      </c>
      <c r="F218" s="34">
        <f>'CUMPLIMIENTO GUARDIAS'!I218</f>
        <v>1</v>
      </c>
      <c r="G218" t="str">
        <f>'CUMPLIMIENTO GUARDIAS'!E218</f>
        <v>C</v>
      </c>
      <c r="H218" t="str">
        <f>'CUMPLIMIENTO GUARDIAS'!F218</f>
        <v>C</v>
      </c>
      <c r="I218" t="str">
        <f>'CUMPLIMIENTO GUARDIAS'!G218</f>
        <v>C</v>
      </c>
      <c r="J218">
        <f>--(C218&lt;=MATCH('DASHBOARD AVANZADO'!$G$3,'DASHBOARD AVANZADO'!$Q$1:$Q$12,0))</f>
        <v>1</v>
      </c>
      <c r="K218">
        <f t="shared" si="3"/>
        <v>1</v>
      </c>
      <c r="L218">
        <v>218</v>
      </c>
    </row>
    <row r="219" spans="1:12" x14ac:dyDescent="0.25">
      <c r="A219" t="s">
        <v>67</v>
      </c>
      <c r="B219" t="s">
        <v>6</v>
      </c>
      <c r="C219">
        <v>1</v>
      </c>
      <c r="D219" t="s">
        <v>39</v>
      </c>
      <c r="E219" t="str">
        <f>'CUMPLIMIENTO GUARDIAS'!J219</f>
        <v>C</v>
      </c>
      <c r="F219" s="34">
        <f>'CUMPLIMIENTO GUARDIAS'!I219</f>
        <v>1</v>
      </c>
      <c r="G219" t="str">
        <f>'CUMPLIMIENTO GUARDIAS'!E219</f>
        <v>C</v>
      </c>
      <c r="H219" t="str">
        <f>'CUMPLIMIENTO GUARDIAS'!F219</f>
        <v>C</v>
      </c>
      <c r="I219" t="str">
        <f>'CUMPLIMIENTO GUARDIAS'!G219</f>
        <v>C</v>
      </c>
      <c r="J219">
        <f>--(C219&lt;=MATCH('DASHBOARD AVANZADO'!$G$3,'DASHBOARD AVANZADO'!$Q$1:$Q$12,0))</f>
        <v>1</v>
      </c>
      <c r="K219">
        <f t="shared" si="3"/>
        <v>1</v>
      </c>
      <c r="L219">
        <v>219</v>
      </c>
    </row>
    <row r="220" spans="1:12" x14ac:dyDescent="0.25">
      <c r="A220" t="s">
        <v>67</v>
      </c>
      <c r="B220" t="s">
        <v>7</v>
      </c>
      <c r="C220">
        <v>2</v>
      </c>
      <c r="D220" t="s">
        <v>40</v>
      </c>
      <c r="E220" t="str">
        <f>'CUMPLIMIENTO GUARDIAS'!J220</f>
        <v>C</v>
      </c>
      <c r="F220" s="34">
        <f>'CUMPLIMIENTO GUARDIAS'!I220</f>
        <v>1</v>
      </c>
      <c r="G220" t="str">
        <f>'CUMPLIMIENTO GUARDIAS'!E220</f>
        <v>C</v>
      </c>
      <c r="H220" t="str">
        <f>'CUMPLIMIENTO GUARDIAS'!F220</f>
        <v>C</v>
      </c>
      <c r="I220" t="str">
        <f>'CUMPLIMIENTO GUARDIAS'!G220</f>
        <v>C</v>
      </c>
      <c r="J220">
        <f>--(C220&lt;=MATCH('DASHBOARD AVANZADO'!$G$3,'DASHBOARD AVANZADO'!$Q$1:$Q$12,0))</f>
        <v>1</v>
      </c>
      <c r="K220">
        <f t="shared" si="3"/>
        <v>1</v>
      </c>
      <c r="L220">
        <v>220</v>
      </c>
    </row>
    <row r="221" spans="1:12" x14ac:dyDescent="0.25">
      <c r="A221" t="s">
        <v>67</v>
      </c>
      <c r="B221" t="s">
        <v>7</v>
      </c>
      <c r="C221">
        <v>2</v>
      </c>
      <c r="D221" t="s">
        <v>20</v>
      </c>
      <c r="E221" t="str">
        <f>'CUMPLIMIENTO GUARDIAS'!J221</f>
        <v>C</v>
      </c>
      <c r="F221" s="34">
        <f>'CUMPLIMIENTO GUARDIAS'!I221</f>
        <v>1</v>
      </c>
      <c r="G221" t="str">
        <f>'CUMPLIMIENTO GUARDIAS'!E221</f>
        <v>C</v>
      </c>
      <c r="H221" t="str">
        <f>'CUMPLIMIENTO GUARDIAS'!F221</f>
        <v>C</v>
      </c>
      <c r="I221" t="str">
        <f>'CUMPLIMIENTO GUARDIAS'!G221</f>
        <v>C</v>
      </c>
      <c r="J221">
        <f>--(C221&lt;=MATCH('DASHBOARD AVANZADO'!$G$3,'DASHBOARD AVANZADO'!$Q$1:$Q$12,0))</f>
        <v>1</v>
      </c>
      <c r="K221">
        <f t="shared" si="3"/>
        <v>1</v>
      </c>
      <c r="L221">
        <v>221</v>
      </c>
    </row>
    <row r="222" spans="1:12" x14ac:dyDescent="0.25">
      <c r="A222" t="s">
        <v>67</v>
      </c>
      <c r="B222" t="s">
        <v>8</v>
      </c>
      <c r="C222">
        <v>3</v>
      </c>
      <c r="D222" t="s">
        <v>41</v>
      </c>
      <c r="E222" t="str">
        <f>'CUMPLIMIENTO GUARDIAS'!J222</f>
        <v>C</v>
      </c>
      <c r="F222" s="34">
        <f>'CUMPLIMIENTO GUARDIAS'!I222</f>
        <v>1</v>
      </c>
      <c r="G222" t="str">
        <f>'CUMPLIMIENTO GUARDIAS'!E222</f>
        <v>C</v>
      </c>
      <c r="H222" t="str">
        <f>'CUMPLIMIENTO GUARDIAS'!F222</f>
        <v>C</v>
      </c>
      <c r="I222" t="str">
        <f>'CUMPLIMIENTO GUARDIAS'!G222</f>
        <v>C</v>
      </c>
      <c r="J222">
        <f>--(C222&lt;=MATCH('DASHBOARD AVANZADO'!$G$3,'DASHBOARD AVANZADO'!$Q$1:$Q$12,0))</f>
        <v>1</v>
      </c>
      <c r="K222">
        <f t="shared" si="3"/>
        <v>1</v>
      </c>
      <c r="L222">
        <v>222</v>
      </c>
    </row>
    <row r="223" spans="1:12" x14ac:dyDescent="0.25">
      <c r="A223" t="s">
        <v>67</v>
      </c>
      <c r="B223" t="s">
        <v>8</v>
      </c>
      <c r="C223">
        <v>3</v>
      </c>
      <c r="D223" t="s">
        <v>42</v>
      </c>
      <c r="E223" t="str">
        <f>'CUMPLIMIENTO GUARDIAS'!J223</f>
        <v>C</v>
      </c>
      <c r="F223" s="34">
        <f>'CUMPLIMIENTO GUARDIAS'!I223</f>
        <v>1</v>
      </c>
      <c r="G223" t="str">
        <f>'CUMPLIMIENTO GUARDIAS'!E223</f>
        <v>C</v>
      </c>
      <c r="H223" t="str">
        <f>'CUMPLIMIENTO GUARDIAS'!F223</f>
        <v>C</v>
      </c>
      <c r="I223" t="str">
        <f>'CUMPLIMIENTO GUARDIAS'!G223</f>
        <v>C</v>
      </c>
      <c r="J223">
        <f>--(C223&lt;=MATCH('DASHBOARD AVANZADO'!$G$3,'DASHBOARD AVANZADO'!$Q$1:$Q$12,0))</f>
        <v>1</v>
      </c>
      <c r="K223">
        <f t="shared" si="3"/>
        <v>1</v>
      </c>
      <c r="L223">
        <v>223</v>
      </c>
    </row>
    <row r="224" spans="1:12" x14ac:dyDescent="0.25">
      <c r="A224" t="s">
        <v>67</v>
      </c>
      <c r="B224" t="s">
        <v>9</v>
      </c>
      <c r="C224">
        <v>4</v>
      </c>
      <c r="D224" t="s">
        <v>43</v>
      </c>
      <c r="E224" t="str">
        <f>'CUMPLIMIENTO GUARDIAS'!J224</f>
        <v>C</v>
      </c>
      <c r="F224" s="34">
        <f>'CUMPLIMIENTO GUARDIAS'!I224</f>
        <v>1</v>
      </c>
      <c r="G224" t="str">
        <f>'CUMPLIMIENTO GUARDIAS'!E224</f>
        <v>C</v>
      </c>
      <c r="H224" t="str">
        <f>'CUMPLIMIENTO GUARDIAS'!F224</f>
        <v>C</v>
      </c>
      <c r="I224" t="str">
        <f>'CUMPLIMIENTO GUARDIAS'!G224</f>
        <v>C</v>
      </c>
      <c r="J224">
        <f>--(C224&lt;=MATCH('DASHBOARD AVANZADO'!$G$3,'DASHBOARD AVANZADO'!$Q$1:$Q$12,0))</f>
        <v>1</v>
      </c>
      <c r="K224">
        <f t="shared" si="3"/>
        <v>1</v>
      </c>
      <c r="L224">
        <v>224</v>
      </c>
    </row>
    <row r="225" spans="1:12" x14ac:dyDescent="0.25">
      <c r="A225" t="s">
        <v>67</v>
      </c>
      <c r="B225" t="s">
        <v>9</v>
      </c>
      <c r="C225">
        <v>4</v>
      </c>
      <c r="D225" t="s">
        <v>44</v>
      </c>
      <c r="E225" t="str">
        <f>'CUMPLIMIENTO GUARDIAS'!J225</f>
        <v>C</v>
      </c>
      <c r="F225" s="34">
        <f>'CUMPLIMIENTO GUARDIAS'!I225</f>
        <v>1</v>
      </c>
      <c r="G225" t="str">
        <f>'CUMPLIMIENTO GUARDIAS'!E225</f>
        <v>C</v>
      </c>
      <c r="H225" t="str">
        <f>'CUMPLIMIENTO GUARDIAS'!F225</f>
        <v>C</v>
      </c>
      <c r="I225" t="str">
        <f>'CUMPLIMIENTO GUARDIAS'!G225</f>
        <v>C</v>
      </c>
      <c r="J225">
        <f>--(C225&lt;=MATCH('DASHBOARD AVANZADO'!$G$3,'DASHBOARD AVANZADO'!$Q$1:$Q$12,0))</f>
        <v>1</v>
      </c>
      <c r="K225">
        <f t="shared" si="3"/>
        <v>1</v>
      </c>
      <c r="L225">
        <v>225</v>
      </c>
    </row>
    <row r="226" spans="1:12" x14ac:dyDescent="0.25">
      <c r="A226" t="s">
        <v>67</v>
      </c>
      <c r="B226" t="s">
        <v>9</v>
      </c>
      <c r="C226">
        <v>4</v>
      </c>
      <c r="D226" t="s">
        <v>45</v>
      </c>
      <c r="E226" t="str">
        <f>'CUMPLIMIENTO GUARDIAS'!J226</f>
        <v>C</v>
      </c>
      <c r="F226" s="34">
        <f>'CUMPLIMIENTO GUARDIAS'!I226</f>
        <v>1</v>
      </c>
      <c r="G226" t="str">
        <f>'CUMPLIMIENTO GUARDIAS'!E226</f>
        <v>C</v>
      </c>
      <c r="H226" t="str">
        <f>'CUMPLIMIENTO GUARDIAS'!F226</f>
        <v>C</v>
      </c>
      <c r="I226" t="str">
        <f>'CUMPLIMIENTO GUARDIAS'!G226</f>
        <v>C</v>
      </c>
      <c r="J226">
        <f>--(C226&lt;=MATCH('DASHBOARD AVANZADO'!$G$3,'DASHBOARD AVANZADO'!$Q$1:$Q$12,0))</f>
        <v>1</v>
      </c>
      <c r="K226">
        <f t="shared" si="3"/>
        <v>1</v>
      </c>
      <c r="L226">
        <v>226</v>
      </c>
    </row>
    <row r="227" spans="1:12" x14ac:dyDescent="0.25">
      <c r="A227" t="s">
        <v>67</v>
      </c>
      <c r="B227" t="s">
        <v>10</v>
      </c>
      <c r="C227">
        <v>5</v>
      </c>
      <c r="D227" t="s">
        <v>46</v>
      </c>
      <c r="E227" t="str">
        <f>'CUMPLIMIENTO GUARDIAS'!J227</f>
        <v>C</v>
      </c>
      <c r="F227" s="34">
        <f>'CUMPLIMIENTO GUARDIAS'!I227</f>
        <v>1</v>
      </c>
      <c r="G227" t="str">
        <f>'CUMPLIMIENTO GUARDIAS'!E227</f>
        <v>C</v>
      </c>
      <c r="H227" t="str">
        <f>'CUMPLIMIENTO GUARDIAS'!F227</f>
        <v>C</v>
      </c>
      <c r="I227" t="str">
        <f>'CUMPLIMIENTO GUARDIAS'!G227</f>
        <v>C</v>
      </c>
      <c r="J227">
        <f>--(C227&lt;=MATCH('DASHBOARD AVANZADO'!$G$3,'DASHBOARD AVANZADO'!$Q$1:$Q$12,0))</f>
        <v>1</v>
      </c>
      <c r="K227">
        <f t="shared" si="3"/>
        <v>1</v>
      </c>
      <c r="L227">
        <v>227</v>
      </c>
    </row>
    <row r="228" spans="1:12" x14ac:dyDescent="0.25">
      <c r="A228" t="s">
        <v>67</v>
      </c>
      <c r="B228" t="s">
        <v>10</v>
      </c>
      <c r="C228">
        <v>5</v>
      </c>
      <c r="D228" t="s">
        <v>47</v>
      </c>
      <c r="E228" t="str">
        <f>'CUMPLIMIENTO GUARDIAS'!J228</f>
        <v>C</v>
      </c>
      <c r="F228" s="34">
        <f>'CUMPLIMIENTO GUARDIAS'!I228</f>
        <v>1</v>
      </c>
      <c r="G228" t="str">
        <f>'CUMPLIMIENTO GUARDIAS'!E228</f>
        <v>C</v>
      </c>
      <c r="H228" t="str">
        <f>'CUMPLIMIENTO GUARDIAS'!F228</f>
        <v>C</v>
      </c>
      <c r="I228" t="str">
        <f>'CUMPLIMIENTO GUARDIAS'!G228</f>
        <v>C</v>
      </c>
      <c r="J228">
        <f>--(C228&lt;=MATCH('DASHBOARD AVANZADO'!$G$3,'DASHBOARD AVANZADO'!$Q$1:$Q$12,0))</f>
        <v>1</v>
      </c>
      <c r="K228">
        <f t="shared" si="3"/>
        <v>1</v>
      </c>
      <c r="L228">
        <v>228</v>
      </c>
    </row>
    <row r="229" spans="1:12" x14ac:dyDescent="0.25">
      <c r="A229" t="s">
        <v>67</v>
      </c>
      <c r="B229" t="s">
        <v>11</v>
      </c>
      <c r="C229">
        <v>6</v>
      </c>
      <c r="D229" t="s">
        <v>20</v>
      </c>
      <c r="E229" t="str">
        <f>'CUMPLIMIENTO GUARDIAS'!J229</f>
        <v>C</v>
      </c>
      <c r="F229" s="34">
        <f>'CUMPLIMIENTO GUARDIAS'!I229</f>
        <v>1</v>
      </c>
      <c r="G229" t="str">
        <f>'CUMPLIMIENTO GUARDIAS'!E229</f>
        <v>C</v>
      </c>
      <c r="H229" t="str">
        <f>'CUMPLIMIENTO GUARDIAS'!F229</f>
        <v>C</v>
      </c>
      <c r="I229" t="str">
        <f>'CUMPLIMIENTO GUARDIAS'!G229</f>
        <v>C</v>
      </c>
      <c r="J229">
        <f>--(C229&lt;=MATCH('DASHBOARD AVANZADO'!$G$3,'DASHBOARD AVANZADO'!$Q$1:$Q$12,0))</f>
        <v>1</v>
      </c>
      <c r="K229">
        <f t="shared" si="3"/>
        <v>1</v>
      </c>
      <c r="L229">
        <v>229</v>
      </c>
    </row>
    <row r="230" spans="1:12" x14ac:dyDescent="0.25">
      <c r="A230" t="s">
        <v>67</v>
      </c>
      <c r="B230" t="s">
        <v>11</v>
      </c>
      <c r="C230">
        <v>6</v>
      </c>
      <c r="D230" t="s">
        <v>48</v>
      </c>
      <c r="E230" t="str">
        <f>'CUMPLIMIENTO GUARDIAS'!J230</f>
        <v>C</v>
      </c>
      <c r="F230" s="34">
        <f>'CUMPLIMIENTO GUARDIAS'!I230</f>
        <v>1</v>
      </c>
      <c r="G230" t="str">
        <f>'CUMPLIMIENTO GUARDIAS'!E230</f>
        <v>C</v>
      </c>
      <c r="H230" t="str">
        <f>'CUMPLIMIENTO GUARDIAS'!F230</f>
        <v>C</v>
      </c>
      <c r="I230" t="str">
        <f>'CUMPLIMIENTO GUARDIAS'!G230</f>
        <v>C</v>
      </c>
      <c r="J230">
        <f>--(C230&lt;=MATCH('DASHBOARD AVANZADO'!$G$3,'DASHBOARD AVANZADO'!$Q$1:$Q$12,0))</f>
        <v>1</v>
      </c>
      <c r="K230">
        <f t="shared" si="3"/>
        <v>1</v>
      </c>
      <c r="L230">
        <v>230</v>
      </c>
    </row>
    <row r="231" spans="1:12" x14ac:dyDescent="0.25">
      <c r="A231" t="s">
        <v>67</v>
      </c>
      <c r="B231" t="s">
        <v>11</v>
      </c>
      <c r="C231">
        <v>6</v>
      </c>
      <c r="D231" t="s">
        <v>49</v>
      </c>
      <c r="E231" t="str">
        <f>'CUMPLIMIENTO GUARDIAS'!J231</f>
        <v>F</v>
      </c>
      <c r="F231" s="34">
        <f>'CUMPLIMIENTO GUARDIAS'!I231</f>
        <v>0</v>
      </c>
      <c r="G231" t="str">
        <f>'CUMPLIMIENTO GUARDIAS'!E231</f>
        <v>F</v>
      </c>
      <c r="H231" t="str">
        <f>'CUMPLIMIENTO GUARDIAS'!F231</f>
        <v>F</v>
      </c>
      <c r="I231" t="str">
        <f>'CUMPLIMIENTO GUARDIAS'!G231</f>
        <v>F</v>
      </c>
      <c r="J231">
        <f>--(C231&lt;=MATCH('DASHBOARD AVANZADO'!$G$3,'DASHBOARD AVANZADO'!$Q$1:$Q$12,0))</f>
        <v>1</v>
      </c>
      <c r="K231">
        <f t="shared" si="3"/>
        <v>0</v>
      </c>
      <c r="L231">
        <v>231</v>
      </c>
    </row>
    <row r="232" spans="1:12" x14ac:dyDescent="0.25">
      <c r="A232" t="s">
        <v>67</v>
      </c>
      <c r="B232" t="s">
        <v>12</v>
      </c>
      <c r="C232">
        <v>7</v>
      </c>
      <c r="D232" t="s">
        <v>38</v>
      </c>
      <c r="E232" t="str">
        <f>'CUMPLIMIENTO GUARDIAS'!J232</f>
        <v>C</v>
      </c>
      <c r="F232" s="34">
        <f>'CUMPLIMIENTO GUARDIAS'!I232</f>
        <v>1</v>
      </c>
      <c r="G232" t="str">
        <f>'CUMPLIMIENTO GUARDIAS'!E232</f>
        <v>C</v>
      </c>
      <c r="H232" t="str">
        <f>'CUMPLIMIENTO GUARDIAS'!F232</f>
        <v>C</v>
      </c>
      <c r="I232" t="str">
        <f>'CUMPLIMIENTO GUARDIAS'!G232</f>
        <v>C</v>
      </c>
      <c r="J232">
        <f>--(C232&lt;=MATCH('DASHBOARD AVANZADO'!$G$3,'DASHBOARD AVANZADO'!$Q$1:$Q$12,0))</f>
        <v>1</v>
      </c>
      <c r="K232">
        <f t="shared" si="3"/>
        <v>1</v>
      </c>
      <c r="L232">
        <v>232</v>
      </c>
    </row>
    <row r="233" spans="1:12" x14ac:dyDescent="0.25">
      <c r="A233" t="s">
        <v>67</v>
      </c>
      <c r="B233" t="s">
        <v>12</v>
      </c>
      <c r="C233">
        <v>7</v>
      </c>
      <c r="D233" t="s">
        <v>87</v>
      </c>
      <c r="E233" t="str">
        <f>'CUMPLIMIENTO GUARDIAS'!J233</f>
        <v>F</v>
      </c>
      <c r="F233" s="34">
        <f>'CUMPLIMIENTO GUARDIAS'!I233</f>
        <v>0</v>
      </c>
      <c r="G233">
        <f>'CUMPLIMIENTO GUARDIAS'!E233</f>
        <v>0</v>
      </c>
      <c r="H233">
        <f>'CUMPLIMIENTO GUARDIAS'!F233</f>
        <v>0</v>
      </c>
      <c r="I233">
        <f>'CUMPLIMIENTO GUARDIAS'!G233</f>
        <v>0</v>
      </c>
      <c r="J233">
        <f>--(C233&lt;=MATCH('DASHBOARD AVANZADO'!$G$3,'DASHBOARD AVANZADO'!$Q$1:$Q$12,0))</f>
        <v>1</v>
      </c>
      <c r="K233">
        <f t="shared" si="3"/>
        <v>0</v>
      </c>
      <c r="L233">
        <v>233</v>
      </c>
    </row>
    <row r="234" spans="1:12" x14ac:dyDescent="0.25">
      <c r="A234" t="s">
        <v>67</v>
      </c>
      <c r="B234" t="s">
        <v>12</v>
      </c>
      <c r="C234">
        <v>7</v>
      </c>
      <c r="D234" t="s">
        <v>51</v>
      </c>
      <c r="E234" t="str">
        <f>'CUMPLIMIENTO GUARDIAS'!J234</f>
        <v>EP</v>
      </c>
      <c r="F234" s="34">
        <f>'CUMPLIMIENTO GUARDIAS'!I234</f>
        <v>0</v>
      </c>
      <c r="G234" t="str">
        <f>'CUMPLIMIENTO GUARDIAS'!E234</f>
        <v>EP</v>
      </c>
      <c r="H234" t="str">
        <f>'CUMPLIMIENTO GUARDIAS'!F234</f>
        <v>EP</v>
      </c>
      <c r="I234" t="str">
        <f>'CUMPLIMIENTO GUARDIAS'!G234</f>
        <v>EP</v>
      </c>
      <c r="J234">
        <f>--(C234&lt;=MATCH('DASHBOARD AVANZADO'!$G$3,'DASHBOARD AVANZADO'!$Q$1:$Q$12,0))</f>
        <v>1</v>
      </c>
      <c r="K234">
        <f t="shared" si="3"/>
        <v>0</v>
      </c>
      <c r="L234">
        <v>234</v>
      </c>
    </row>
    <row r="235" spans="1:12" x14ac:dyDescent="0.25">
      <c r="A235" t="s">
        <v>67</v>
      </c>
      <c r="B235" t="s">
        <v>13</v>
      </c>
      <c r="C235">
        <v>8</v>
      </c>
      <c r="D235" t="s">
        <v>52</v>
      </c>
      <c r="E235">
        <f>'CUMPLIMIENTO GUARDIAS'!J235</f>
        <v>0</v>
      </c>
      <c r="F235" s="34">
        <f>'CUMPLIMIENTO GUARDIAS'!I235</f>
        <v>0</v>
      </c>
      <c r="G235">
        <f>'CUMPLIMIENTO GUARDIAS'!E235</f>
        <v>0</v>
      </c>
      <c r="H235">
        <f>'CUMPLIMIENTO GUARDIAS'!F235</f>
        <v>0</v>
      </c>
      <c r="I235">
        <f>'CUMPLIMIENTO GUARDIAS'!G235</f>
        <v>0</v>
      </c>
      <c r="J235">
        <f>--(C235&lt;=MATCH('DASHBOARD AVANZADO'!$G$3,'DASHBOARD AVANZADO'!$Q$1:$Q$12,0))</f>
        <v>0</v>
      </c>
      <c r="K235">
        <f t="shared" si="3"/>
        <v>0</v>
      </c>
      <c r="L235">
        <v>235</v>
      </c>
    </row>
    <row r="236" spans="1:12" x14ac:dyDescent="0.25">
      <c r="A236" t="s">
        <v>67</v>
      </c>
      <c r="B236" t="s">
        <v>13</v>
      </c>
      <c r="C236">
        <v>8</v>
      </c>
      <c r="D236" t="s">
        <v>53</v>
      </c>
      <c r="E236">
        <f>'CUMPLIMIENTO GUARDIAS'!J236</f>
        <v>0</v>
      </c>
      <c r="F236" s="34">
        <f>'CUMPLIMIENTO GUARDIAS'!I236</f>
        <v>0</v>
      </c>
      <c r="G236">
        <f>'CUMPLIMIENTO GUARDIAS'!E236</f>
        <v>0</v>
      </c>
      <c r="H236">
        <f>'CUMPLIMIENTO GUARDIAS'!F236</f>
        <v>0</v>
      </c>
      <c r="I236">
        <f>'CUMPLIMIENTO GUARDIAS'!G236</f>
        <v>0</v>
      </c>
      <c r="J236">
        <f>--(C236&lt;=MATCH('DASHBOARD AVANZADO'!$G$3,'DASHBOARD AVANZADO'!$Q$1:$Q$12,0))</f>
        <v>0</v>
      </c>
      <c r="K236">
        <f t="shared" si="3"/>
        <v>0</v>
      </c>
      <c r="L236">
        <v>236</v>
      </c>
    </row>
    <row r="237" spans="1:12" x14ac:dyDescent="0.25">
      <c r="A237" t="s">
        <v>67</v>
      </c>
      <c r="B237" t="s">
        <v>13</v>
      </c>
      <c r="C237">
        <v>8</v>
      </c>
      <c r="D237" t="s">
        <v>54</v>
      </c>
      <c r="E237">
        <f>'CUMPLIMIENTO GUARDIAS'!J237</f>
        <v>0</v>
      </c>
      <c r="F237" s="34">
        <f>'CUMPLIMIENTO GUARDIAS'!I237</f>
        <v>0</v>
      </c>
      <c r="G237">
        <f>'CUMPLIMIENTO GUARDIAS'!E237</f>
        <v>0</v>
      </c>
      <c r="H237">
        <f>'CUMPLIMIENTO GUARDIAS'!F237</f>
        <v>0</v>
      </c>
      <c r="I237">
        <f>'CUMPLIMIENTO GUARDIAS'!G237</f>
        <v>0</v>
      </c>
      <c r="J237">
        <f>--(C237&lt;=MATCH('DASHBOARD AVANZADO'!$G$3,'DASHBOARD AVANZADO'!$Q$1:$Q$12,0))</f>
        <v>0</v>
      </c>
      <c r="K237">
        <f t="shared" si="3"/>
        <v>0</v>
      </c>
      <c r="L237">
        <v>237</v>
      </c>
    </row>
    <row r="238" spans="1:12" x14ac:dyDescent="0.25">
      <c r="A238" t="s">
        <v>67</v>
      </c>
      <c r="B238" t="s">
        <v>14</v>
      </c>
      <c r="C238">
        <v>9</v>
      </c>
      <c r="D238" t="s">
        <v>55</v>
      </c>
      <c r="E238">
        <f>'CUMPLIMIENTO GUARDIAS'!J238</f>
        <v>0</v>
      </c>
      <c r="F238" s="34">
        <f>'CUMPLIMIENTO GUARDIAS'!I238</f>
        <v>0</v>
      </c>
      <c r="G238">
        <f>'CUMPLIMIENTO GUARDIAS'!E238</f>
        <v>0</v>
      </c>
      <c r="H238">
        <f>'CUMPLIMIENTO GUARDIAS'!F238</f>
        <v>0</v>
      </c>
      <c r="I238">
        <f>'CUMPLIMIENTO GUARDIAS'!G238</f>
        <v>0</v>
      </c>
      <c r="J238">
        <f>--(C238&lt;=MATCH('DASHBOARD AVANZADO'!$G$3,'DASHBOARD AVANZADO'!$Q$1:$Q$12,0))</f>
        <v>0</v>
      </c>
      <c r="K238">
        <f t="shared" si="3"/>
        <v>0</v>
      </c>
      <c r="L238">
        <v>238</v>
      </c>
    </row>
    <row r="239" spans="1:12" x14ac:dyDescent="0.25">
      <c r="A239" t="s">
        <v>67</v>
      </c>
      <c r="B239" t="s">
        <v>14</v>
      </c>
      <c r="C239">
        <v>9</v>
      </c>
      <c r="D239" t="s">
        <v>56</v>
      </c>
      <c r="E239">
        <f>'CUMPLIMIENTO GUARDIAS'!J239</f>
        <v>0</v>
      </c>
      <c r="F239" s="34">
        <f>'CUMPLIMIENTO GUARDIAS'!I239</f>
        <v>0</v>
      </c>
      <c r="G239">
        <f>'CUMPLIMIENTO GUARDIAS'!E239</f>
        <v>0</v>
      </c>
      <c r="H239">
        <f>'CUMPLIMIENTO GUARDIAS'!F239</f>
        <v>0</v>
      </c>
      <c r="I239">
        <f>'CUMPLIMIENTO GUARDIAS'!G239</f>
        <v>0</v>
      </c>
      <c r="J239">
        <f>--(C239&lt;=MATCH('DASHBOARD AVANZADO'!$G$3,'DASHBOARD AVANZADO'!$Q$1:$Q$12,0))</f>
        <v>0</v>
      </c>
      <c r="K239">
        <f t="shared" si="3"/>
        <v>0</v>
      </c>
      <c r="L239">
        <v>239</v>
      </c>
    </row>
    <row r="240" spans="1:12" x14ac:dyDescent="0.25">
      <c r="A240" t="s">
        <v>67</v>
      </c>
      <c r="B240" t="s">
        <v>15</v>
      </c>
      <c r="C240">
        <v>10</v>
      </c>
      <c r="D240" t="s">
        <v>20</v>
      </c>
      <c r="E240">
        <f>'CUMPLIMIENTO GUARDIAS'!J240</f>
        <v>0</v>
      </c>
      <c r="F240" s="34">
        <f>'CUMPLIMIENTO GUARDIAS'!I240</f>
        <v>0</v>
      </c>
      <c r="G240">
        <f>'CUMPLIMIENTO GUARDIAS'!E240</f>
        <v>0</v>
      </c>
      <c r="H240">
        <f>'CUMPLIMIENTO GUARDIAS'!F240</f>
        <v>0</v>
      </c>
      <c r="I240">
        <f>'CUMPLIMIENTO GUARDIAS'!G240</f>
        <v>0</v>
      </c>
      <c r="J240">
        <f>--(C240&lt;=MATCH('DASHBOARD AVANZADO'!$G$3,'DASHBOARD AVANZADO'!$Q$1:$Q$12,0))</f>
        <v>0</v>
      </c>
      <c r="K240">
        <f t="shared" si="3"/>
        <v>0</v>
      </c>
      <c r="L240">
        <v>240</v>
      </c>
    </row>
    <row r="241" spans="1:12" x14ac:dyDescent="0.25">
      <c r="A241" t="s">
        <v>67</v>
      </c>
      <c r="B241" t="s">
        <v>15</v>
      </c>
      <c r="C241">
        <v>10</v>
      </c>
      <c r="D241" t="s">
        <v>42</v>
      </c>
      <c r="E241">
        <f>'CUMPLIMIENTO GUARDIAS'!J241</f>
        <v>0</v>
      </c>
      <c r="F241" s="34">
        <f>'CUMPLIMIENTO GUARDIAS'!I241</f>
        <v>0</v>
      </c>
      <c r="G241">
        <f>'CUMPLIMIENTO GUARDIAS'!E241</f>
        <v>0</v>
      </c>
      <c r="H241">
        <f>'CUMPLIMIENTO GUARDIAS'!F241</f>
        <v>0</v>
      </c>
      <c r="I241">
        <f>'CUMPLIMIENTO GUARDIAS'!G241</f>
        <v>0</v>
      </c>
      <c r="J241">
        <f>--(C241&lt;=MATCH('DASHBOARD AVANZADO'!$G$3,'DASHBOARD AVANZADO'!$Q$1:$Q$12,0))</f>
        <v>0</v>
      </c>
      <c r="K241">
        <f t="shared" si="3"/>
        <v>0</v>
      </c>
      <c r="L241">
        <v>241</v>
      </c>
    </row>
    <row r="242" spans="1:12" x14ac:dyDescent="0.25">
      <c r="A242" t="s">
        <v>67</v>
      </c>
      <c r="B242" t="s">
        <v>16</v>
      </c>
      <c r="C242">
        <v>11</v>
      </c>
      <c r="D242" t="s">
        <v>57</v>
      </c>
      <c r="E242">
        <f>'CUMPLIMIENTO GUARDIAS'!J242</f>
        <v>0</v>
      </c>
      <c r="F242" s="34">
        <f>'CUMPLIMIENTO GUARDIAS'!I242</f>
        <v>0</v>
      </c>
      <c r="G242">
        <f>'CUMPLIMIENTO GUARDIAS'!E242</f>
        <v>0</v>
      </c>
      <c r="H242">
        <f>'CUMPLIMIENTO GUARDIAS'!F242</f>
        <v>0</v>
      </c>
      <c r="I242">
        <f>'CUMPLIMIENTO GUARDIAS'!G242</f>
        <v>0</v>
      </c>
      <c r="J242">
        <f>--(C242&lt;=MATCH('DASHBOARD AVANZADO'!$G$3,'DASHBOARD AVANZADO'!$Q$1:$Q$12,0))</f>
        <v>0</v>
      </c>
      <c r="K242">
        <f t="shared" si="3"/>
        <v>0</v>
      </c>
      <c r="L242">
        <v>242</v>
      </c>
    </row>
    <row r="243" spans="1:12" x14ac:dyDescent="0.25">
      <c r="A243" t="s">
        <v>67</v>
      </c>
      <c r="B243" t="s">
        <v>16</v>
      </c>
      <c r="C243">
        <v>11</v>
      </c>
      <c r="D243" t="s">
        <v>39</v>
      </c>
      <c r="E243">
        <f>'CUMPLIMIENTO GUARDIAS'!J243</f>
        <v>0</v>
      </c>
      <c r="F243" s="34">
        <f>'CUMPLIMIENTO GUARDIAS'!I243</f>
        <v>0</v>
      </c>
      <c r="G243">
        <f>'CUMPLIMIENTO GUARDIAS'!E243</f>
        <v>0</v>
      </c>
      <c r="H243">
        <f>'CUMPLIMIENTO GUARDIAS'!F243</f>
        <v>0</v>
      </c>
      <c r="I243">
        <f>'CUMPLIMIENTO GUARDIAS'!G243</f>
        <v>0</v>
      </c>
      <c r="J243">
        <f>--(C243&lt;=MATCH('DASHBOARD AVANZADO'!$G$3,'DASHBOARD AVANZADO'!$Q$1:$Q$12,0))</f>
        <v>0</v>
      </c>
      <c r="K243">
        <f t="shared" si="3"/>
        <v>0</v>
      </c>
      <c r="L243">
        <v>243</v>
      </c>
    </row>
    <row r="244" spans="1:12" x14ac:dyDescent="0.25">
      <c r="A244" t="s">
        <v>67</v>
      </c>
      <c r="B244" t="s">
        <v>17</v>
      </c>
      <c r="C244">
        <v>12</v>
      </c>
      <c r="D244" t="s">
        <v>38</v>
      </c>
      <c r="E244">
        <f>'CUMPLIMIENTO GUARDIAS'!J244</f>
        <v>0</v>
      </c>
      <c r="F244" s="34">
        <f>'CUMPLIMIENTO GUARDIAS'!I244</f>
        <v>0</v>
      </c>
      <c r="G244">
        <f>'CUMPLIMIENTO GUARDIAS'!E244</f>
        <v>0</v>
      </c>
      <c r="H244">
        <f>'CUMPLIMIENTO GUARDIAS'!F244</f>
        <v>0</v>
      </c>
      <c r="I244">
        <f>'CUMPLIMIENTO GUARDIAS'!G244</f>
        <v>0</v>
      </c>
      <c r="J244">
        <f>--(C244&lt;=MATCH('DASHBOARD AVANZADO'!$G$3,'DASHBOARD AVANZADO'!$Q$1:$Q$12,0))</f>
        <v>0</v>
      </c>
      <c r="K244">
        <f t="shared" si="3"/>
        <v>0</v>
      </c>
      <c r="L244">
        <v>244</v>
      </c>
    </row>
    <row r="245" spans="1:12" x14ac:dyDescent="0.25">
      <c r="A245" t="s">
        <v>68</v>
      </c>
      <c r="B245" t="s">
        <v>6</v>
      </c>
      <c r="C245">
        <v>1</v>
      </c>
      <c r="D245" t="s">
        <v>38</v>
      </c>
      <c r="E245" t="str">
        <f>'CUMPLIMIENTO GUARDIAS'!J245</f>
        <v>C</v>
      </c>
      <c r="F245" s="34">
        <f>'CUMPLIMIENTO GUARDIAS'!I245</f>
        <v>1</v>
      </c>
      <c r="G245" t="str">
        <f>'CUMPLIMIENTO GUARDIAS'!E245</f>
        <v>C</v>
      </c>
      <c r="H245" t="str">
        <f>'CUMPLIMIENTO GUARDIAS'!F245</f>
        <v>C</v>
      </c>
      <c r="I245" t="str">
        <f>'CUMPLIMIENTO GUARDIAS'!G245</f>
        <v>C</v>
      </c>
      <c r="J245">
        <f>--(C245&lt;=MATCH('DASHBOARD AVANZADO'!$G$3,'DASHBOARD AVANZADO'!$Q$1:$Q$12,0))</f>
        <v>1</v>
      </c>
      <c r="K245">
        <f t="shared" si="3"/>
        <v>1</v>
      </c>
      <c r="L245">
        <v>245</v>
      </c>
    </row>
    <row r="246" spans="1:12" x14ac:dyDescent="0.25">
      <c r="A246" t="s">
        <v>68</v>
      </c>
      <c r="B246" t="s">
        <v>6</v>
      </c>
      <c r="C246">
        <v>1</v>
      </c>
      <c r="D246" t="s">
        <v>39</v>
      </c>
      <c r="E246" t="str">
        <f>'CUMPLIMIENTO GUARDIAS'!J246</f>
        <v>C</v>
      </c>
      <c r="F246" s="34">
        <f>'CUMPLIMIENTO GUARDIAS'!I246</f>
        <v>1</v>
      </c>
      <c r="G246" t="str">
        <f>'CUMPLIMIENTO GUARDIAS'!E246</f>
        <v>C</v>
      </c>
      <c r="H246" t="str">
        <f>'CUMPLIMIENTO GUARDIAS'!F246</f>
        <v>C</v>
      </c>
      <c r="I246" t="str">
        <f>'CUMPLIMIENTO GUARDIAS'!G246</f>
        <v>C</v>
      </c>
      <c r="J246">
        <f>--(C246&lt;=MATCH('DASHBOARD AVANZADO'!$G$3,'DASHBOARD AVANZADO'!$Q$1:$Q$12,0))</f>
        <v>1</v>
      </c>
      <c r="K246">
        <f t="shared" si="3"/>
        <v>1</v>
      </c>
      <c r="L246">
        <v>246</v>
      </c>
    </row>
    <row r="247" spans="1:12" x14ac:dyDescent="0.25">
      <c r="A247" t="s">
        <v>68</v>
      </c>
      <c r="B247" t="s">
        <v>7</v>
      </c>
      <c r="C247">
        <v>2</v>
      </c>
      <c r="D247" t="s">
        <v>40</v>
      </c>
      <c r="E247" t="str">
        <f>'CUMPLIMIENTO GUARDIAS'!J247</f>
        <v>C</v>
      </c>
      <c r="F247" s="34">
        <f>'CUMPLIMIENTO GUARDIAS'!I247</f>
        <v>1</v>
      </c>
      <c r="G247" t="str">
        <f>'CUMPLIMIENTO GUARDIAS'!E247</f>
        <v>C</v>
      </c>
      <c r="H247" t="str">
        <f>'CUMPLIMIENTO GUARDIAS'!F247</f>
        <v>C</v>
      </c>
      <c r="I247" t="str">
        <f>'CUMPLIMIENTO GUARDIAS'!G247</f>
        <v>C</v>
      </c>
      <c r="J247">
        <f>--(C247&lt;=MATCH('DASHBOARD AVANZADO'!$G$3,'DASHBOARD AVANZADO'!$Q$1:$Q$12,0))</f>
        <v>1</v>
      </c>
      <c r="K247">
        <f t="shared" si="3"/>
        <v>1</v>
      </c>
      <c r="L247">
        <v>247</v>
      </c>
    </row>
    <row r="248" spans="1:12" x14ac:dyDescent="0.25">
      <c r="A248" t="s">
        <v>68</v>
      </c>
      <c r="B248" t="s">
        <v>7</v>
      </c>
      <c r="C248">
        <v>2</v>
      </c>
      <c r="D248" t="s">
        <v>20</v>
      </c>
      <c r="E248" t="str">
        <f>'CUMPLIMIENTO GUARDIAS'!J248</f>
        <v>C</v>
      </c>
      <c r="F248" s="34">
        <f>'CUMPLIMIENTO GUARDIAS'!I248</f>
        <v>1</v>
      </c>
      <c r="G248" t="str">
        <f>'CUMPLIMIENTO GUARDIAS'!E248</f>
        <v>C</v>
      </c>
      <c r="H248" t="str">
        <f>'CUMPLIMIENTO GUARDIAS'!F248</f>
        <v>C</v>
      </c>
      <c r="I248" t="str">
        <f>'CUMPLIMIENTO GUARDIAS'!G248</f>
        <v>C</v>
      </c>
      <c r="J248">
        <f>--(C248&lt;=MATCH('DASHBOARD AVANZADO'!$G$3,'DASHBOARD AVANZADO'!$Q$1:$Q$12,0))</f>
        <v>1</v>
      </c>
      <c r="K248">
        <f t="shared" si="3"/>
        <v>1</v>
      </c>
      <c r="L248">
        <v>248</v>
      </c>
    </row>
    <row r="249" spans="1:12" x14ac:dyDescent="0.25">
      <c r="A249" t="s">
        <v>68</v>
      </c>
      <c r="B249" t="s">
        <v>8</v>
      </c>
      <c r="C249">
        <v>3</v>
      </c>
      <c r="D249" t="s">
        <v>41</v>
      </c>
      <c r="E249" t="str">
        <f>'CUMPLIMIENTO GUARDIAS'!J249</f>
        <v>C</v>
      </c>
      <c r="F249" s="34">
        <f>'CUMPLIMIENTO GUARDIAS'!I249</f>
        <v>1</v>
      </c>
      <c r="G249" t="str">
        <f>'CUMPLIMIENTO GUARDIAS'!E249</f>
        <v>C</v>
      </c>
      <c r="H249" t="str">
        <f>'CUMPLIMIENTO GUARDIAS'!F249</f>
        <v>C</v>
      </c>
      <c r="I249" t="str">
        <f>'CUMPLIMIENTO GUARDIAS'!G249</f>
        <v>C</v>
      </c>
      <c r="J249">
        <f>--(C249&lt;=MATCH('DASHBOARD AVANZADO'!$G$3,'DASHBOARD AVANZADO'!$Q$1:$Q$12,0))</f>
        <v>1</v>
      </c>
      <c r="K249">
        <f t="shared" si="3"/>
        <v>1</v>
      </c>
      <c r="L249">
        <v>249</v>
      </c>
    </row>
    <row r="250" spans="1:12" x14ac:dyDescent="0.25">
      <c r="A250" t="s">
        <v>68</v>
      </c>
      <c r="B250" t="s">
        <v>8</v>
      </c>
      <c r="C250">
        <v>3</v>
      </c>
      <c r="D250" t="s">
        <v>42</v>
      </c>
      <c r="E250" t="str">
        <f>'CUMPLIMIENTO GUARDIAS'!J250</f>
        <v>C</v>
      </c>
      <c r="F250" s="34">
        <f>'CUMPLIMIENTO GUARDIAS'!I250</f>
        <v>1</v>
      </c>
      <c r="G250" t="str">
        <f>'CUMPLIMIENTO GUARDIAS'!E250</f>
        <v>C</v>
      </c>
      <c r="H250" t="str">
        <f>'CUMPLIMIENTO GUARDIAS'!F250</f>
        <v>C</v>
      </c>
      <c r="I250" t="str">
        <f>'CUMPLIMIENTO GUARDIAS'!G250</f>
        <v>C</v>
      </c>
      <c r="J250">
        <f>--(C250&lt;=MATCH('DASHBOARD AVANZADO'!$G$3,'DASHBOARD AVANZADO'!$Q$1:$Q$12,0))</f>
        <v>1</v>
      </c>
      <c r="K250">
        <f t="shared" si="3"/>
        <v>1</v>
      </c>
      <c r="L250">
        <v>250</v>
      </c>
    </row>
    <row r="251" spans="1:12" x14ac:dyDescent="0.25">
      <c r="A251" t="s">
        <v>68</v>
      </c>
      <c r="B251" t="s">
        <v>9</v>
      </c>
      <c r="C251">
        <v>4</v>
      </c>
      <c r="D251" t="s">
        <v>43</v>
      </c>
      <c r="E251" t="str">
        <f>'CUMPLIMIENTO GUARDIAS'!J251</f>
        <v>C</v>
      </c>
      <c r="F251" s="34">
        <f>'CUMPLIMIENTO GUARDIAS'!I251</f>
        <v>1</v>
      </c>
      <c r="G251" t="str">
        <f>'CUMPLIMIENTO GUARDIAS'!E251</f>
        <v>C</v>
      </c>
      <c r="H251" t="str">
        <f>'CUMPLIMIENTO GUARDIAS'!F251</f>
        <v>C</v>
      </c>
      <c r="I251" t="str">
        <f>'CUMPLIMIENTO GUARDIAS'!G251</f>
        <v>C</v>
      </c>
      <c r="J251">
        <f>--(C251&lt;=MATCH('DASHBOARD AVANZADO'!$G$3,'DASHBOARD AVANZADO'!$Q$1:$Q$12,0))</f>
        <v>1</v>
      </c>
      <c r="K251">
        <f t="shared" si="3"/>
        <v>1</v>
      </c>
      <c r="L251">
        <v>251</v>
      </c>
    </row>
    <row r="252" spans="1:12" x14ac:dyDescent="0.25">
      <c r="A252" t="s">
        <v>68</v>
      </c>
      <c r="B252" t="s">
        <v>9</v>
      </c>
      <c r="C252">
        <v>4</v>
      </c>
      <c r="D252" t="s">
        <v>44</v>
      </c>
      <c r="E252" t="str">
        <f>'CUMPLIMIENTO GUARDIAS'!J252</f>
        <v>C</v>
      </c>
      <c r="F252" s="34">
        <f>'CUMPLIMIENTO GUARDIAS'!I252</f>
        <v>1</v>
      </c>
      <c r="G252" t="str">
        <f>'CUMPLIMIENTO GUARDIAS'!E252</f>
        <v>C</v>
      </c>
      <c r="H252" t="str">
        <f>'CUMPLIMIENTO GUARDIAS'!F252</f>
        <v>C</v>
      </c>
      <c r="I252" t="str">
        <f>'CUMPLIMIENTO GUARDIAS'!G252</f>
        <v>C</v>
      </c>
      <c r="J252">
        <f>--(C252&lt;=MATCH('DASHBOARD AVANZADO'!$G$3,'DASHBOARD AVANZADO'!$Q$1:$Q$12,0))</f>
        <v>1</v>
      </c>
      <c r="K252">
        <f t="shared" si="3"/>
        <v>1</v>
      </c>
      <c r="L252">
        <v>252</v>
      </c>
    </row>
    <row r="253" spans="1:12" x14ac:dyDescent="0.25">
      <c r="A253" t="s">
        <v>68</v>
      </c>
      <c r="B253" t="s">
        <v>9</v>
      </c>
      <c r="C253">
        <v>4</v>
      </c>
      <c r="D253" t="s">
        <v>45</v>
      </c>
      <c r="E253" t="str">
        <f>'CUMPLIMIENTO GUARDIAS'!J253</f>
        <v>C</v>
      </c>
      <c r="F253" s="34">
        <f>'CUMPLIMIENTO GUARDIAS'!I253</f>
        <v>1</v>
      </c>
      <c r="G253" t="str">
        <f>'CUMPLIMIENTO GUARDIAS'!E253</f>
        <v>C</v>
      </c>
      <c r="H253" t="str">
        <f>'CUMPLIMIENTO GUARDIAS'!F253</f>
        <v>C</v>
      </c>
      <c r="I253" t="str">
        <f>'CUMPLIMIENTO GUARDIAS'!G253</f>
        <v>C</v>
      </c>
      <c r="J253">
        <f>--(C253&lt;=MATCH('DASHBOARD AVANZADO'!$G$3,'DASHBOARD AVANZADO'!$Q$1:$Q$12,0))</f>
        <v>1</v>
      </c>
      <c r="K253">
        <f t="shared" si="3"/>
        <v>1</v>
      </c>
      <c r="L253">
        <v>253</v>
      </c>
    </row>
    <row r="254" spans="1:12" x14ac:dyDescent="0.25">
      <c r="A254" t="s">
        <v>68</v>
      </c>
      <c r="B254" t="s">
        <v>10</v>
      </c>
      <c r="C254">
        <v>5</v>
      </c>
      <c r="D254" t="s">
        <v>46</v>
      </c>
      <c r="E254" t="str">
        <f>'CUMPLIMIENTO GUARDIAS'!J254</f>
        <v>C</v>
      </c>
      <c r="F254" s="34">
        <f>'CUMPLIMIENTO GUARDIAS'!I254</f>
        <v>1</v>
      </c>
      <c r="G254" t="str">
        <f>'CUMPLIMIENTO GUARDIAS'!E254</f>
        <v>C</v>
      </c>
      <c r="H254" t="str">
        <f>'CUMPLIMIENTO GUARDIAS'!F254</f>
        <v>C</v>
      </c>
      <c r="I254" t="str">
        <f>'CUMPLIMIENTO GUARDIAS'!G254</f>
        <v>C</v>
      </c>
      <c r="J254">
        <f>--(C254&lt;=MATCH('DASHBOARD AVANZADO'!$G$3,'DASHBOARD AVANZADO'!$Q$1:$Q$12,0))</f>
        <v>1</v>
      </c>
      <c r="K254">
        <f t="shared" si="3"/>
        <v>1</v>
      </c>
      <c r="L254">
        <v>254</v>
      </c>
    </row>
    <row r="255" spans="1:12" x14ac:dyDescent="0.25">
      <c r="A255" t="s">
        <v>68</v>
      </c>
      <c r="B255" t="s">
        <v>10</v>
      </c>
      <c r="C255">
        <v>5</v>
      </c>
      <c r="D255" t="s">
        <v>47</v>
      </c>
      <c r="E255" t="str">
        <f>'CUMPLIMIENTO GUARDIAS'!J255</f>
        <v>C</v>
      </c>
      <c r="F255" s="34">
        <f>'CUMPLIMIENTO GUARDIAS'!I255</f>
        <v>1</v>
      </c>
      <c r="G255" t="str">
        <f>'CUMPLIMIENTO GUARDIAS'!E255</f>
        <v>C</v>
      </c>
      <c r="H255" t="str">
        <f>'CUMPLIMIENTO GUARDIAS'!F255</f>
        <v>C</v>
      </c>
      <c r="I255" t="str">
        <f>'CUMPLIMIENTO GUARDIAS'!G255</f>
        <v>C</v>
      </c>
      <c r="J255">
        <f>--(C255&lt;=MATCH('DASHBOARD AVANZADO'!$G$3,'DASHBOARD AVANZADO'!$Q$1:$Q$12,0))</f>
        <v>1</v>
      </c>
      <c r="K255">
        <f t="shared" si="3"/>
        <v>1</v>
      </c>
      <c r="L255">
        <v>255</v>
      </c>
    </row>
    <row r="256" spans="1:12" x14ac:dyDescent="0.25">
      <c r="A256" t="s">
        <v>68</v>
      </c>
      <c r="B256" t="s">
        <v>11</v>
      </c>
      <c r="C256">
        <v>6</v>
      </c>
      <c r="D256" t="s">
        <v>20</v>
      </c>
      <c r="E256" t="str">
        <f>'CUMPLIMIENTO GUARDIAS'!J256</f>
        <v>C</v>
      </c>
      <c r="F256" s="34">
        <f>'CUMPLIMIENTO GUARDIAS'!I256</f>
        <v>1</v>
      </c>
      <c r="G256" t="str">
        <f>'CUMPLIMIENTO GUARDIAS'!E256</f>
        <v>C</v>
      </c>
      <c r="H256" t="str">
        <f>'CUMPLIMIENTO GUARDIAS'!F256</f>
        <v>C</v>
      </c>
      <c r="I256" t="str">
        <f>'CUMPLIMIENTO GUARDIAS'!G256</f>
        <v>C</v>
      </c>
      <c r="J256">
        <f>--(C256&lt;=MATCH('DASHBOARD AVANZADO'!$G$3,'DASHBOARD AVANZADO'!$Q$1:$Q$12,0))</f>
        <v>1</v>
      </c>
      <c r="K256">
        <f t="shared" si="3"/>
        <v>1</v>
      </c>
      <c r="L256">
        <v>256</v>
      </c>
    </row>
    <row r="257" spans="1:12" x14ac:dyDescent="0.25">
      <c r="A257" t="s">
        <v>68</v>
      </c>
      <c r="B257" t="s">
        <v>11</v>
      </c>
      <c r="C257">
        <v>6</v>
      </c>
      <c r="D257" t="s">
        <v>48</v>
      </c>
      <c r="E257" t="str">
        <f>'CUMPLIMIENTO GUARDIAS'!J257</f>
        <v>C</v>
      </c>
      <c r="F257" s="34">
        <f>'CUMPLIMIENTO GUARDIAS'!I257</f>
        <v>1</v>
      </c>
      <c r="G257" t="str">
        <f>'CUMPLIMIENTO GUARDIAS'!E257</f>
        <v>C</v>
      </c>
      <c r="H257" t="str">
        <f>'CUMPLIMIENTO GUARDIAS'!F257</f>
        <v>C</v>
      </c>
      <c r="I257" t="str">
        <f>'CUMPLIMIENTO GUARDIAS'!G257</f>
        <v>C</v>
      </c>
      <c r="J257">
        <f>--(C257&lt;=MATCH('DASHBOARD AVANZADO'!$G$3,'DASHBOARD AVANZADO'!$Q$1:$Q$12,0))</f>
        <v>1</v>
      </c>
      <c r="K257">
        <f t="shared" si="3"/>
        <v>1</v>
      </c>
      <c r="L257">
        <v>257</v>
      </c>
    </row>
    <row r="258" spans="1:12" x14ac:dyDescent="0.25">
      <c r="A258" t="s">
        <v>68</v>
      </c>
      <c r="B258" t="s">
        <v>11</v>
      </c>
      <c r="C258">
        <v>6</v>
      </c>
      <c r="D258" t="s">
        <v>49</v>
      </c>
      <c r="E258" t="str">
        <f>'CUMPLIMIENTO GUARDIAS'!J258</f>
        <v>F</v>
      </c>
      <c r="F258" s="34">
        <f>'CUMPLIMIENTO GUARDIAS'!I258</f>
        <v>0</v>
      </c>
      <c r="G258" t="str">
        <f>'CUMPLIMIENTO GUARDIAS'!E258</f>
        <v>F</v>
      </c>
      <c r="H258" t="str">
        <f>'CUMPLIMIENTO GUARDIAS'!F258</f>
        <v>F</v>
      </c>
      <c r="I258" t="str">
        <f>'CUMPLIMIENTO GUARDIAS'!G258</f>
        <v>F</v>
      </c>
      <c r="J258">
        <f>--(C258&lt;=MATCH('DASHBOARD AVANZADO'!$G$3,'DASHBOARD AVANZADO'!$Q$1:$Q$12,0))</f>
        <v>1</v>
      </c>
      <c r="K258">
        <f t="shared" ref="K258:K321" si="4">IF(E258="C",1,0)</f>
        <v>0</v>
      </c>
      <c r="L258">
        <v>258</v>
      </c>
    </row>
    <row r="259" spans="1:12" x14ac:dyDescent="0.25">
      <c r="A259" t="s">
        <v>68</v>
      </c>
      <c r="B259" t="s">
        <v>12</v>
      </c>
      <c r="C259">
        <v>7</v>
      </c>
      <c r="D259" t="s">
        <v>38</v>
      </c>
      <c r="E259" t="str">
        <f>'CUMPLIMIENTO GUARDIAS'!J259</f>
        <v>C</v>
      </c>
      <c r="F259" s="34">
        <f>'CUMPLIMIENTO GUARDIAS'!I259</f>
        <v>1</v>
      </c>
      <c r="G259" t="str">
        <f>'CUMPLIMIENTO GUARDIAS'!E259</f>
        <v>C</v>
      </c>
      <c r="H259" t="str">
        <f>'CUMPLIMIENTO GUARDIAS'!F259</f>
        <v>C</v>
      </c>
      <c r="I259" t="str">
        <f>'CUMPLIMIENTO GUARDIAS'!G259</f>
        <v>C</v>
      </c>
      <c r="J259">
        <f>--(C259&lt;=MATCH('DASHBOARD AVANZADO'!$G$3,'DASHBOARD AVANZADO'!$Q$1:$Q$12,0))</f>
        <v>1</v>
      </c>
      <c r="K259">
        <f t="shared" si="4"/>
        <v>1</v>
      </c>
      <c r="L259">
        <v>259</v>
      </c>
    </row>
    <row r="260" spans="1:12" x14ac:dyDescent="0.25">
      <c r="A260" t="s">
        <v>68</v>
      </c>
      <c r="B260" t="s">
        <v>12</v>
      </c>
      <c r="C260">
        <v>7</v>
      </c>
      <c r="D260" t="s">
        <v>87</v>
      </c>
      <c r="E260" t="str">
        <f>'CUMPLIMIENTO GUARDIAS'!J260</f>
        <v>F</v>
      </c>
      <c r="F260" s="34">
        <f>'CUMPLIMIENTO GUARDIAS'!I260</f>
        <v>0</v>
      </c>
      <c r="G260">
        <f>'CUMPLIMIENTO GUARDIAS'!E260</f>
        <v>0</v>
      </c>
      <c r="H260">
        <f>'CUMPLIMIENTO GUARDIAS'!F260</f>
        <v>0</v>
      </c>
      <c r="I260">
        <f>'CUMPLIMIENTO GUARDIAS'!G260</f>
        <v>0</v>
      </c>
      <c r="J260">
        <f>--(C260&lt;=MATCH('DASHBOARD AVANZADO'!$G$3,'DASHBOARD AVANZADO'!$Q$1:$Q$12,0))</f>
        <v>1</v>
      </c>
      <c r="K260">
        <f t="shared" si="4"/>
        <v>0</v>
      </c>
      <c r="L260">
        <v>260</v>
      </c>
    </row>
    <row r="261" spans="1:12" x14ac:dyDescent="0.25">
      <c r="A261" t="s">
        <v>68</v>
      </c>
      <c r="B261" t="s">
        <v>12</v>
      </c>
      <c r="C261">
        <v>7</v>
      </c>
      <c r="D261" t="s">
        <v>51</v>
      </c>
      <c r="E261" t="str">
        <f>'CUMPLIMIENTO GUARDIAS'!J261</f>
        <v>EP</v>
      </c>
      <c r="F261" s="34">
        <f>'CUMPLIMIENTO GUARDIAS'!I261</f>
        <v>0</v>
      </c>
      <c r="G261" t="str">
        <f>'CUMPLIMIENTO GUARDIAS'!E261</f>
        <v>EP</v>
      </c>
      <c r="H261" t="str">
        <f>'CUMPLIMIENTO GUARDIAS'!F261</f>
        <v>EP</v>
      </c>
      <c r="I261" t="str">
        <f>'CUMPLIMIENTO GUARDIAS'!G261</f>
        <v>EP</v>
      </c>
      <c r="J261">
        <f>--(C261&lt;=MATCH('DASHBOARD AVANZADO'!$G$3,'DASHBOARD AVANZADO'!$Q$1:$Q$12,0))</f>
        <v>1</v>
      </c>
      <c r="K261">
        <f t="shared" si="4"/>
        <v>0</v>
      </c>
      <c r="L261">
        <v>261</v>
      </c>
    </row>
    <row r="262" spans="1:12" x14ac:dyDescent="0.25">
      <c r="A262" t="s">
        <v>68</v>
      </c>
      <c r="B262" t="s">
        <v>13</v>
      </c>
      <c r="C262">
        <v>8</v>
      </c>
      <c r="D262" t="s">
        <v>52</v>
      </c>
      <c r="E262">
        <f>'CUMPLIMIENTO GUARDIAS'!J262</f>
        <v>0</v>
      </c>
      <c r="F262" s="34">
        <f>'CUMPLIMIENTO GUARDIAS'!I262</f>
        <v>0</v>
      </c>
      <c r="G262">
        <f>'CUMPLIMIENTO GUARDIAS'!E262</f>
        <v>0</v>
      </c>
      <c r="H262">
        <f>'CUMPLIMIENTO GUARDIAS'!F262</f>
        <v>0</v>
      </c>
      <c r="I262">
        <f>'CUMPLIMIENTO GUARDIAS'!G262</f>
        <v>0</v>
      </c>
      <c r="J262">
        <f>--(C262&lt;=MATCH('DASHBOARD AVANZADO'!$G$3,'DASHBOARD AVANZADO'!$Q$1:$Q$12,0))</f>
        <v>0</v>
      </c>
      <c r="K262">
        <f t="shared" si="4"/>
        <v>0</v>
      </c>
      <c r="L262">
        <v>262</v>
      </c>
    </row>
    <row r="263" spans="1:12" x14ac:dyDescent="0.25">
      <c r="A263" t="s">
        <v>68</v>
      </c>
      <c r="B263" t="s">
        <v>13</v>
      </c>
      <c r="C263">
        <v>8</v>
      </c>
      <c r="D263" t="s">
        <v>53</v>
      </c>
      <c r="E263">
        <f>'CUMPLIMIENTO GUARDIAS'!J263</f>
        <v>0</v>
      </c>
      <c r="F263" s="34">
        <f>'CUMPLIMIENTO GUARDIAS'!I263</f>
        <v>0</v>
      </c>
      <c r="G263">
        <f>'CUMPLIMIENTO GUARDIAS'!E263</f>
        <v>0</v>
      </c>
      <c r="H263">
        <f>'CUMPLIMIENTO GUARDIAS'!F263</f>
        <v>0</v>
      </c>
      <c r="I263">
        <f>'CUMPLIMIENTO GUARDIAS'!G263</f>
        <v>0</v>
      </c>
      <c r="J263">
        <f>--(C263&lt;=MATCH('DASHBOARD AVANZADO'!$G$3,'DASHBOARD AVANZADO'!$Q$1:$Q$12,0))</f>
        <v>0</v>
      </c>
      <c r="K263">
        <f t="shared" si="4"/>
        <v>0</v>
      </c>
      <c r="L263">
        <v>263</v>
      </c>
    </row>
    <row r="264" spans="1:12" x14ac:dyDescent="0.25">
      <c r="A264" t="s">
        <v>68</v>
      </c>
      <c r="B264" t="s">
        <v>13</v>
      </c>
      <c r="C264">
        <v>8</v>
      </c>
      <c r="D264" t="s">
        <v>54</v>
      </c>
      <c r="E264">
        <f>'CUMPLIMIENTO GUARDIAS'!J264</f>
        <v>0</v>
      </c>
      <c r="F264" s="34">
        <f>'CUMPLIMIENTO GUARDIAS'!I264</f>
        <v>0</v>
      </c>
      <c r="G264">
        <f>'CUMPLIMIENTO GUARDIAS'!E264</f>
        <v>0</v>
      </c>
      <c r="H264">
        <f>'CUMPLIMIENTO GUARDIAS'!F264</f>
        <v>0</v>
      </c>
      <c r="I264">
        <f>'CUMPLIMIENTO GUARDIAS'!G264</f>
        <v>0</v>
      </c>
      <c r="J264">
        <f>--(C264&lt;=MATCH('DASHBOARD AVANZADO'!$G$3,'DASHBOARD AVANZADO'!$Q$1:$Q$12,0))</f>
        <v>0</v>
      </c>
      <c r="K264">
        <f t="shared" si="4"/>
        <v>0</v>
      </c>
      <c r="L264">
        <v>264</v>
      </c>
    </row>
    <row r="265" spans="1:12" x14ac:dyDescent="0.25">
      <c r="A265" t="s">
        <v>68</v>
      </c>
      <c r="B265" t="s">
        <v>14</v>
      </c>
      <c r="C265">
        <v>9</v>
      </c>
      <c r="D265" t="s">
        <v>55</v>
      </c>
      <c r="E265">
        <f>'CUMPLIMIENTO GUARDIAS'!J265</f>
        <v>0</v>
      </c>
      <c r="F265" s="34">
        <f>'CUMPLIMIENTO GUARDIAS'!I265</f>
        <v>0</v>
      </c>
      <c r="G265">
        <f>'CUMPLIMIENTO GUARDIAS'!E265</f>
        <v>0</v>
      </c>
      <c r="H265">
        <f>'CUMPLIMIENTO GUARDIAS'!F265</f>
        <v>0</v>
      </c>
      <c r="I265">
        <f>'CUMPLIMIENTO GUARDIAS'!G265</f>
        <v>0</v>
      </c>
      <c r="J265">
        <f>--(C265&lt;=MATCH('DASHBOARD AVANZADO'!$G$3,'DASHBOARD AVANZADO'!$Q$1:$Q$12,0))</f>
        <v>0</v>
      </c>
      <c r="K265">
        <f t="shared" si="4"/>
        <v>0</v>
      </c>
      <c r="L265">
        <v>265</v>
      </c>
    </row>
    <row r="266" spans="1:12" x14ac:dyDescent="0.25">
      <c r="A266" t="s">
        <v>68</v>
      </c>
      <c r="B266" t="s">
        <v>14</v>
      </c>
      <c r="C266">
        <v>9</v>
      </c>
      <c r="D266" t="s">
        <v>56</v>
      </c>
      <c r="E266">
        <f>'CUMPLIMIENTO GUARDIAS'!J266</f>
        <v>0</v>
      </c>
      <c r="F266" s="34">
        <f>'CUMPLIMIENTO GUARDIAS'!I266</f>
        <v>0</v>
      </c>
      <c r="G266">
        <f>'CUMPLIMIENTO GUARDIAS'!E266</f>
        <v>0</v>
      </c>
      <c r="H266">
        <f>'CUMPLIMIENTO GUARDIAS'!F266</f>
        <v>0</v>
      </c>
      <c r="I266">
        <f>'CUMPLIMIENTO GUARDIAS'!G266</f>
        <v>0</v>
      </c>
      <c r="J266">
        <f>--(C266&lt;=MATCH('DASHBOARD AVANZADO'!$G$3,'DASHBOARD AVANZADO'!$Q$1:$Q$12,0))</f>
        <v>0</v>
      </c>
      <c r="K266">
        <f t="shared" si="4"/>
        <v>0</v>
      </c>
      <c r="L266">
        <v>266</v>
      </c>
    </row>
    <row r="267" spans="1:12" x14ac:dyDescent="0.25">
      <c r="A267" t="s">
        <v>68</v>
      </c>
      <c r="B267" t="s">
        <v>15</v>
      </c>
      <c r="C267">
        <v>10</v>
      </c>
      <c r="D267" t="s">
        <v>20</v>
      </c>
      <c r="E267">
        <f>'CUMPLIMIENTO GUARDIAS'!J267</f>
        <v>0</v>
      </c>
      <c r="F267" s="34">
        <f>'CUMPLIMIENTO GUARDIAS'!I267</f>
        <v>0</v>
      </c>
      <c r="G267">
        <f>'CUMPLIMIENTO GUARDIAS'!E267</f>
        <v>0</v>
      </c>
      <c r="H267">
        <f>'CUMPLIMIENTO GUARDIAS'!F267</f>
        <v>0</v>
      </c>
      <c r="I267">
        <f>'CUMPLIMIENTO GUARDIAS'!G267</f>
        <v>0</v>
      </c>
      <c r="J267">
        <f>--(C267&lt;=MATCH('DASHBOARD AVANZADO'!$G$3,'DASHBOARD AVANZADO'!$Q$1:$Q$12,0))</f>
        <v>0</v>
      </c>
      <c r="K267">
        <f t="shared" si="4"/>
        <v>0</v>
      </c>
      <c r="L267">
        <v>267</v>
      </c>
    </row>
    <row r="268" spans="1:12" x14ac:dyDescent="0.25">
      <c r="A268" t="s">
        <v>68</v>
      </c>
      <c r="B268" t="s">
        <v>15</v>
      </c>
      <c r="C268">
        <v>10</v>
      </c>
      <c r="D268" t="s">
        <v>42</v>
      </c>
      <c r="E268">
        <f>'CUMPLIMIENTO GUARDIAS'!J268</f>
        <v>0</v>
      </c>
      <c r="F268" s="34">
        <f>'CUMPLIMIENTO GUARDIAS'!I268</f>
        <v>0</v>
      </c>
      <c r="G268">
        <f>'CUMPLIMIENTO GUARDIAS'!E268</f>
        <v>0</v>
      </c>
      <c r="H268">
        <f>'CUMPLIMIENTO GUARDIAS'!F268</f>
        <v>0</v>
      </c>
      <c r="I268">
        <f>'CUMPLIMIENTO GUARDIAS'!G268</f>
        <v>0</v>
      </c>
      <c r="J268">
        <f>--(C268&lt;=MATCH('DASHBOARD AVANZADO'!$G$3,'DASHBOARD AVANZADO'!$Q$1:$Q$12,0))</f>
        <v>0</v>
      </c>
      <c r="K268">
        <f t="shared" si="4"/>
        <v>0</v>
      </c>
      <c r="L268">
        <v>268</v>
      </c>
    </row>
    <row r="269" spans="1:12" x14ac:dyDescent="0.25">
      <c r="A269" t="s">
        <v>68</v>
      </c>
      <c r="B269" t="s">
        <v>16</v>
      </c>
      <c r="C269">
        <v>11</v>
      </c>
      <c r="D269" t="s">
        <v>57</v>
      </c>
      <c r="E269">
        <f>'CUMPLIMIENTO GUARDIAS'!J269</f>
        <v>0</v>
      </c>
      <c r="F269" s="34">
        <f>'CUMPLIMIENTO GUARDIAS'!I269</f>
        <v>0</v>
      </c>
      <c r="G269">
        <f>'CUMPLIMIENTO GUARDIAS'!E269</f>
        <v>0</v>
      </c>
      <c r="H269">
        <f>'CUMPLIMIENTO GUARDIAS'!F269</f>
        <v>0</v>
      </c>
      <c r="I269">
        <f>'CUMPLIMIENTO GUARDIAS'!G269</f>
        <v>0</v>
      </c>
      <c r="J269">
        <f>--(C269&lt;=MATCH('DASHBOARD AVANZADO'!$G$3,'DASHBOARD AVANZADO'!$Q$1:$Q$12,0))</f>
        <v>0</v>
      </c>
      <c r="K269">
        <f t="shared" si="4"/>
        <v>0</v>
      </c>
      <c r="L269">
        <v>269</v>
      </c>
    </row>
    <row r="270" spans="1:12" x14ac:dyDescent="0.25">
      <c r="A270" t="s">
        <v>68</v>
      </c>
      <c r="B270" t="s">
        <v>16</v>
      </c>
      <c r="C270">
        <v>11</v>
      </c>
      <c r="D270" t="s">
        <v>39</v>
      </c>
      <c r="E270">
        <f>'CUMPLIMIENTO GUARDIAS'!J270</f>
        <v>0</v>
      </c>
      <c r="F270" s="34">
        <f>'CUMPLIMIENTO GUARDIAS'!I270</f>
        <v>0</v>
      </c>
      <c r="G270">
        <f>'CUMPLIMIENTO GUARDIAS'!E270</f>
        <v>0</v>
      </c>
      <c r="H270">
        <f>'CUMPLIMIENTO GUARDIAS'!F270</f>
        <v>0</v>
      </c>
      <c r="I270">
        <f>'CUMPLIMIENTO GUARDIAS'!G270</f>
        <v>0</v>
      </c>
      <c r="J270">
        <f>--(C270&lt;=MATCH('DASHBOARD AVANZADO'!$G$3,'DASHBOARD AVANZADO'!$Q$1:$Q$12,0))</f>
        <v>0</v>
      </c>
      <c r="K270">
        <f t="shared" si="4"/>
        <v>0</v>
      </c>
      <c r="L270">
        <v>270</v>
      </c>
    </row>
    <row r="271" spans="1:12" x14ac:dyDescent="0.25">
      <c r="A271" t="s">
        <v>68</v>
      </c>
      <c r="B271" t="s">
        <v>17</v>
      </c>
      <c r="C271">
        <v>12</v>
      </c>
      <c r="D271" t="s">
        <v>38</v>
      </c>
      <c r="E271">
        <f>'CUMPLIMIENTO GUARDIAS'!J271</f>
        <v>0</v>
      </c>
      <c r="F271" s="34">
        <f>'CUMPLIMIENTO GUARDIAS'!I271</f>
        <v>0</v>
      </c>
      <c r="G271">
        <f>'CUMPLIMIENTO GUARDIAS'!E271</f>
        <v>0</v>
      </c>
      <c r="H271">
        <f>'CUMPLIMIENTO GUARDIAS'!F271</f>
        <v>0</v>
      </c>
      <c r="I271">
        <f>'CUMPLIMIENTO GUARDIAS'!G271</f>
        <v>0</v>
      </c>
      <c r="J271">
        <f>--(C271&lt;=MATCH('DASHBOARD AVANZADO'!$G$3,'DASHBOARD AVANZADO'!$Q$1:$Q$12,0))</f>
        <v>0</v>
      </c>
      <c r="K271">
        <f t="shared" si="4"/>
        <v>0</v>
      </c>
      <c r="L271">
        <v>271</v>
      </c>
    </row>
    <row r="272" spans="1:12" x14ac:dyDescent="0.25">
      <c r="A272" t="s">
        <v>69</v>
      </c>
      <c r="B272" t="s">
        <v>6</v>
      </c>
      <c r="C272">
        <v>1</v>
      </c>
      <c r="D272" t="s">
        <v>38</v>
      </c>
      <c r="E272" t="str">
        <f>'CUMPLIMIENTO GUARDIAS'!J272</f>
        <v>C</v>
      </c>
      <c r="F272" s="34">
        <f>'CUMPLIMIENTO GUARDIAS'!I272</f>
        <v>1</v>
      </c>
      <c r="G272" t="str">
        <f>'CUMPLIMIENTO GUARDIAS'!E272</f>
        <v>C</v>
      </c>
      <c r="H272" t="str">
        <f>'CUMPLIMIENTO GUARDIAS'!F272</f>
        <v>C</v>
      </c>
      <c r="I272" t="str">
        <f>'CUMPLIMIENTO GUARDIAS'!G272</f>
        <v>C</v>
      </c>
      <c r="J272">
        <f>--(C272&lt;=MATCH('DASHBOARD AVANZADO'!$G$3,'DASHBOARD AVANZADO'!$Q$1:$Q$12,0))</f>
        <v>1</v>
      </c>
      <c r="K272">
        <f t="shared" si="4"/>
        <v>1</v>
      </c>
      <c r="L272">
        <v>272</v>
      </c>
    </row>
    <row r="273" spans="1:12" x14ac:dyDescent="0.25">
      <c r="A273" t="s">
        <v>69</v>
      </c>
      <c r="B273" t="s">
        <v>6</v>
      </c>
      <c r="C273">
        <v>1</v>
      </c>
      <c r="D273" t="s">
        <v>39</v>
      </c>
      <c r="E273" t="str">
        <f>'CUMPLIMIENTO GUARDIAS'!J273</f>
        <v>C</v>
      </c>
      <c r="F273" s="34">
        <f>'CUMPLIMIENTO GUARDIAS'!I273</f>
        <v>1</v>
      </c>
      <c r="G273" t="str">
        <f>'CUMPLIMIENTO GUARDIAS'!E273</f>
        <v>C</v>
      </c>
      <c r="H273" t="str">
        <f>'CUMPLIMIENTO GUARDIAS'!F273</f>
        <v>C</v>
      </c>
      <c r="I273" t="str">
        <f>'CUMPLIMIENTO GUARDIAS'!G273</f>
        <v>C</v>
      </c>
      <c r="J273">
        <f>--(C273&lt;=MATCH('DASHBOARD AVANZADO'!$G$3,'DASHBOARD AVANZADO'!$Q$1:$Q$12,0))</f>
        <v>1</v>
      </c>
      <c r="K273">
        <f t="shared" si="4"/>
        <v>1</v>
      </c>
      <c r="L273">
        <v>273</v>
      </c>
    </row>
    <row r="274" spans="1:12" x14ac:dyDescent="0.25">
      <c r="A274" t="s">
        <v>69</v>
      </c>
      <c r="B274" t="s">
        <v>7</v>
      </c>
      <c r="C274">
        <v>2</v>
      </c>
      <c r="D274" t="s">
        <v>40</v>
      </c>
      <c r="E274" t="str">
        <f>'CUMPLIMIENTO GUARDIAS'!J274</f>
        <v>C</v>
      </c>
      <c r="F274" s="34">
        <f>'CUMPLIMIENTO GUARDIAS'!I274</f>
        <v>1</v>
      </c>
      <c r="G274" t="str">
        <f>'CUMPLIMIENTO GUARDIAS'!E274</f>
        <v>C</v>
      </c>
      <c r="H274" t="str">
        <f>'CUMPLIMIENTO GUARDIAS'!F274</f>
        <v>C</v>
      </c>
      <c r="I274" t="str">
        <f>'CUMPLIMIENTO GUARDIAS'!G274</f>
        <v>C</v>
      </c>
      <c r="J274">
        <f>--(C274&lt;=MATCH('DASHBOARD AVANZADO'!$G$3,'DASHBOARD AVANZADO'!$Q$1:$Q$12,0))</f>
        <v>1</v>
      </c>
      <c r="K274">
        <f t="shared" si="4"/>
        <v>1</v>
      </c>
      <c r="L274">
        <v>274</v>
      </c>
    </row>
    <row r="275" spans="1:12" x14ac:dyDescent="0.25">
      <c r="A275" t="s">
        <v>69</v>
      </c>
      <c r="B275" t="s">
        <v>7</v>
      </c>
      <c r="C275">
        <v>2</v>
      </c>
      <c r="D275" t="s">
        <v>20</v>
      </c>
      <c r="E275" t="str">
        <f>'CUMPLIMIENTO GUARDIAS'!J275</f>
        <v>C</v>
      </c>
      <c r="F275" s="34">
        <f>'CUMPLIMIENTO GUARDIAS'!I275</f>
        <v>1</v>
      </c>
      <c r="G275" t="str">
        <f>'CUMPLIMIENTO GUARDIAS'!E275</f>
        <v>C</v>
      </c>
      <c r="H275" t="str">
        <f>'CUMPLIMIENTO GUARDIAS'!F275</f>
        <v>C</v>
      </c>
      <c r="I275" t="str">
        <f>'CUMPLIMIENTO GUARDIAS'!G275</f>
        <v>C</v>
      </c>
      <c r="J275">
        <f>--(C275&lt;=MATCH('DASHBOARD AVANZADO'!$G$3,'DASHBOARD AVANZADO'!$Q$1:$Q$12,0))</f>
        <v>1</v>
      </c>
      <c r="K275">
        <f t="shared" si="4"/>
        <v>1</v>
      </c>
      <c r="L275">
        <v>275</v>
      </c>
    </row>
    <row r="276" spans="1:12" x14ac:dyDescent="0.25">
      <c r="A276" t="s">
        <v>69</v>
      </c>
      <c r="B276" t="s">
        <v>8</v>
      </c>
      <c r="C276">
        <v>3</v>
      </c>
      <c r="D276" t="s">
        <v>41</v>
      </c>
      <c r="E276" t="str">
        <f>'CUMPLIMIENTO GUARDIAS'!J276</f>
        <v>C</v>
      </c>
      <c r="F276" s="34">
        <f>'CUMPLIMIENTO GUARDIAS'!I276</f>
        <v>1</v>
      </c>
      <c r="G276" t="str">
        <f>'CUMPLIMIENTO GUARDIAS'!E276</f>
        <v>C</v>
      </c>
      <c r="H276" t="str">
        <f>'CUMPLIMIENTO GUARDIAS'!F276</f>
        <v>C</v>
      </c>
      <c r="I276" t="str">
        <f>'CUMPLIMIENTO GUARDIAS'!G276</f>
        <v>C</v>
      </c>
      <c r="J276">
        <f>--(C276&lt;=MATCH('DASHBOARD AVANZADO'!$G$3,'DASHBOARD AVANZADO'!$Q$1:$Q$12,0))</f>
        <v>1</v>
      </c>
      <c r="K276">
        <f t="shared" si="4"/>
        <v>1</v>
      </c>
      <c r="L276">
        <v>276</v>
      </c>
    </row>
    <row r="277" spans="1:12" x14ac:dyDescent="0.25">
      <c r="A277" t="s">
        <v>69</v>
      </c>
      <c r="B277" t="s">
        <v>8</v>
      </c>
      <c r="C277">
        <v>3</v>
      </c>
      <c r="D277" t="s">
        <v>42</v>
      </c>
      <c r="E277" t="str">
        <f>'CUMPLIMIENTO GUARDIAS'!J277</f>
        <v>C</v>
      </c>
      <c r="F277" s="34">
        <f>'CUMPLIMIENTO GUARDIAS'!I277</f>
        <v>1</v>
      </c>
      <c r="G277" t="str">
        <f>'CUMPLIMIENTO GUARDIAS'!E277</f>
        <v>C</v>
      </c>
      <c r="H277" t="str">
        <f>'CUMPLIMIENTO GUARDIAS'!F277</f>
        <v>C</v>
      </c>
      <c r="I277" t="str">
        <f>'CUMPLIMIENTO GUARDIAS'!G277</f>
        <v>C</v>
      </c>
      <c r="J277">
        <f>--(C277&lt;=MATCH('DASHBOARD AVANZADO'!$G$3,'DASHBOARD AVANZADO'!$Q$1:$Q$12,0))</f>
        <v>1</v>
      </c>
      <c r="K277">
        <f t="shared" si="4"/>
        <v>1</v>
      </c>
      <c r="L277">
        <v>277</v>
      </c>
    </row>
    <row r="278" spans="1:12" x14ac:dyDescent="0.25">
      <c r="A278" t="s">
        <v>69</v>
      </c>
      <c r="B278" t="s">
        <v>9</v>
      </c>
      <c r="C278">
        <v>4</v>
      </c>
      <c r="D278" t="s">
        <v>43</v>
      </c>
      <c r="E278" t="str">
        <f>'CUMPLIMIENTO GUARDIAS'!J278</f>
        <v>C</v>
      </c>
      <c r="F278" s="34">
        <f>'CUMPLIMIENTO GUARDIAS'!I278</f>
        <v>1</v>
      </c>
      <c r="G278" t="str">
        <f>'CUMPLIMIENTO GUARDIAS'!E278</f>
        <v>C</v>
      </c>
      <c r="H278" t="str">
        <f>'CUMPLIMIENTO GUARDIAS'!F278</f>
        <v>C</v>
      </c>
      <c r="I278" t="str">
        <f>'CUMPLIMIENTO GUARDIAS'!G278</f>
        <v>C</v>
      </c>
      <c r="J278">
        <f>--(C278&lt;=MATCH('DASHBOARD AVANZADO'!$G$3,'DASHBOARD AVANZADO'!$Q$1:$Q$12,0))</f>
        <v>1</v>
      </c>
      <c r="K278">
        <f t="shared" si="4"/>
        <v>1</v>
      </c>
      <c r="L278">
        <v>278</v>
      </c>
    </row>
    <row r="279" spans="1:12" x14ac:dyDescent="0.25">
      <c r="A279" t="s">
        <v>69</v>
      </c>
      <c r="B279" t="s">
        <v>9</v>
      </c>
      <c r="C279">
        <v>4</v>
      </c>
      <c r="D279" t="s">
        <v>44</v>
      </c>
      <c r="E279" t="str">
        <f>'CUMPLIMIENTO GUARDIAS'!J279</f>
        <v>C</v>
      </c>
      <c r="F279" s="34">
        <f>'CUMPLIMIENTO GUARDIAS'!I279</f>
        <v>1</v>
      </c>
      <c r="G279" t="str">
        <f>'CUMPLIMIENTO GUARDIAS'!E279</f>
        <v>C</v>
      </c>
      <c r="H279" t="str">
        <f>'CUMPLIMIENTO GUARDIAS'!F279</f>
        <v>C</v>
      </c>
      <c r="I279" t="str">
        <f>'CUMPLIMIENTO GUARDIAS'!G279</f>
        <v>C</v>
      </c>
      <c r="J279">
        <f>--(C279&lt;=MATCH('DASHBOARD AVANZADO'!$G$3,'DASHBOARD AVANZADO'!$Q$1:$Q$12,0))</f>
        <v>1</v>
      </c>
      <c r="K279">
        <f t="shared" si="4"/>
        <v>1</v>
      </c>
      <c r="L279">
        <v>279</v>
      </c>
    </row>
    <row r="280" spans="1:12" x14ac:dyDescent="0.25">
      <c r="A280" t="s">
        <v>69</v>
      </c>
      <c r="B280" t="s">
        <v>9</v>
      </c>
      <c r="C280">
        <v>4</v>
      </c>
      <c r="D280" t="s">
        <v>45</v>
      </c>
      <c r="E280" t="str">
        <f>'CUMPLIMIENTO GUARDIAS'!J280</f>
        <v>C</v>
      </c>
      <c r="F280" s="34">
        <f>'CUMPLIMIENTO GUARDIAS'!I280</f>
        <v>1</v>
      </c>
      <c r="G280" t="str">
        <f>'CUMPLIMIENTO GUARDIAS'!E280</f>
        <v>C</v>
      </c>
      <c r="H280" t="str">
        <f>'CUMPLIMIENTO GUARDIAS'!F280</f>
        <v>C</v>
      </c>
      <c r="I280" t="str">
        <f>'CUMPLIMIENTO GUARDIAS'!G280</f>
        <v>C</v>
      </c>
      <c r="J280">
        <f>--(C280&lt;=MATCH('DASHBOARD AVANZADO'!$G$3,'DASHBOARD AVANZADO'!$Q$1:$Q$12,0))</f>
        <v>1</v>
      </c>
      <c r="K280">
        <f t="shared" si="4"/>
        <v>1</v>
      </c>
      <c r="L280">
        <v>280</v>
      </c>
    </row>
    <row r="281" spans="1:12" x14ac:dyDescent="0.25">
      <c r="A281" t="s">
        <v>69</v>
      </c>
      <c r="B281" t="s">
        <v>10</v>
      </c>
      <c r="C281">
        <v>5</v>
      </c>
      <c r="D281" t="s">
        <v>46</v>
      </c>
      <c r="E281" t="str">
        <f>'CUMPLIMIENTO GUARDIAS'!J281</f>
        <v>C</v>
      </c>
      <c r="F281" s="34">
        <f>'CUMPLIMIENTO GUARDIAS'!I281</f>
        <v>1</v>
      </c>
      <c r="G281" t="str">
        <f>'CUMPLIMIENTO GUARDIAS'!E281</f>
        <v>C</v>
      </c>
      <c r="H281" t="str">
        <f>'CUMPLIMIENTO GUARDIAS'!F281</f>
        <v>C</v>
      </c>
      <c r="I281" t="str">
        <f>'CUMPLIMIENTO GUARDIAS'!G281</f>
        <v>C</v>
      </c>
      <c r="J281">
        <f>--(C281&lt;=MATCH('DASHBOARD AVANZADO'!$G$3,'DASHBOARD AVANZADO'!$Q$1:$Q$12,0))</f>
        <v>1</v>
      </c>
      <c r="K281">
        <f t="shared" si="4"/>
        <v>1</v>
      </c>
      <c r="L281">
        <v>281</v>
      </c>
    </row>
    <row r="282" spans="1:12" x14ac:dyDescent="0.25">
      <c r="A282" t="s">
        <v>69</v>
      </c>
      <c r="B282" t="s">
        <v>10</v>
      </c>
      <c r="C282">
        <v>5</v>
      </c>
      <c r="D282" t="s">
        <v>47</v>
      </c>
      <c r="E282" t="str">
        <f>'CUMPLIMIENTO GUARDIAS'!J282</f>
        <v>C</v>
      </c>
      <c r="F282" s="34">
        <f>'CUMPLIMIENTO GUARDIAS'!I282</f>
        <v>1</v>
      </c>
      <c r="G282" t="str">
        <f>'CUMPLIMIENTO GUARDIAS'!E282</f>
        <v>C</v>
      </c>
      <c r="H282" t="str">
        <f>'CUMPLIMIENTO GUARDIAS'!F282</f>
        <v>C</v>
      </c>
      <c r="I282" t="str">
        <f>'CUMPLIMIENTO GUARDIAS'!G282</f>
        <v>C</v>
      </c>
      <c r="J282">
        <f>--(C282&lt;=MATCH('DASHBOARD AVANZADO'!$G$3,'DASHBOARD AVANZADO'!$Q$1:$Q$12,0))</f>
        <v>1</v>
      </c>
      <c r="K282">
        <f t="shared" si="4"/>
        <v>1</v>
      </c>
      <c r="L282">
        <v>282</v>
      </c>
    </row>
    <row r="283" spans="1:12" x14ac:dyDescent="0.25">
      <c r="A283" t="s">
        <v>69</v>
      </c>
      <c r="B283" t="s">
        <v>11</v>
      </c>
      <c r="C283">
        <v>6</v>
      </c>
      <c r="D283" t="s">
        <v>20</v>
      </c>
      <c r="E283" t="str">
        <f>'CUMPLIMIENTO GUARDIAS'!J283</f>
        <v>C</v>
      </c>
      <c r="F283" s="34">
        <f>'CUMPLIMIENTO GUARDIAS'!I283</f>
        <v>1</v>
      </c>
      <c r="G283" t="str">
        <f>'CUMPLIMIENTO GUARDIAS'!E283</f>
        <v>C</v>
      </c>
      <c r="H283" t="str">
        <f>'CUMPLIMIENTO GUARDIAS'!F283</f>
        <v>C</v>
      </c>
      <c r="I283" t="str">
        <f>'CUMPLIMIENTO GUARDIAS'!G283</f>
        <v>C</v>
      </c>
      <c r="J283">
        <f>--(C283&lt;=MATCH('DASHBOARD AVANZADO'!$G$3,'DASHBOARD AVANZADO'!$Q$1:$Q$12,0))</f>
        <v>1</v>
      </c>
      <c r="K283">
        <f t="shared" si="4"/>
        <v>1</v>
      </c>
      <c r="L283">
        <v>283</v>
      </c>
    </row>
    <row r="284" spans="1:12" x14ac:dyDescent="0.25">
      <c r="A284" t="s">
        <v>69</v>
      </c>
      <c r="B284" t="s">
        <v>11</v>
      </c>
      <c r="C284">
        <v>6</v>
      </c>
      <c r="D284" t="s">
        <v>48</v>
      </c>
      <c r="E284" t="str">
        <f>'CUMPLIMIENTO GUARDIAS'!J284</f>
        <v>C</v>
      </c>
      <c r="F284" s="34">
        <f>'CUMPLIMIENTO GUARDIAS'!I284</f>
        <v>1</v>
      </c>
      <c r="G284" t="str">
        <f>'CUMPLIMIENTO GUARDIAS'!E284</f>
        <v>C</v>
      </c>
      <c r="H284" t="str">
        <f>'CUMPLIMIENTO GUARDIAS'!F284</f>
        <v>C</v>
      </c>
      <c r="I284" t="str">
        <f>'CUMPLIMIENTO GUARDIAS'!G284</f>
        <v>C</v>
      </c>
      <c r="J284">
        <f>--(C284&lt;=MATCH('DASHBOARD AVANZADO'!$G$3,'DASHBOARD AVANZADO'!$Q$1:$Q$12,0))</f>
        <v>1</v>
      </c>
      <c r="K284">
        <f t="shared" si="4"/>
        <v>1</v>
      </c>
      <c r="L284">
        <v>284</v>
      </c>
    </row>
    <row r="285" spans="1:12" x14ac:dyDescent="0.25">
      <c r="A285" t="s">
        <v>69</v>
      </c>
      <c r="B285" t="s">
        <v>11</v>
      </c>
      <c r="C285">
        <v>6</v>
      </c>
      <c r="D285" t="s">
        <v>49</v>
      </c>
      <c r="E285" t="str">
        <f>'CUMPLIMIENTO GUARDIAS'!J285</f>
        <v>F</v>
      </c>
      <c r="F285" s="34">
        <f>'CUMPLIMIENTO GUARDIAS'!I285</f>
        <v>0</v>
      </c>
      <c r="G285" t="str">
        <f>'CUMPLIMIENTO GUARDIAS'!E285</f>
        <v>F</v>
      </c>
      <c r="H285" t="str">
        <f>'CUMPLIMIENTO GUARDIAS'!F285</f>
        <v>F</v>
      </c>
      <c r="I285" t="str">
        <f>'CUMPLIMIENTO GUARDIAS'!G285</f>
        <v>F</v>
      </c>
      <c r="J285">
        <f>--(C285&lt;=MATCH('DASHBOARD AVANZADO'!$G$3,'DASHBOARD AVANZADO'!$Q$1:$Q$12,0))</f>
        <v>1</v>
      </c>
      <c r="K285">
        <f t="shared" si="4"/>
        <v>0</v>
      </c>
      <c r="L285">
        <v>285</v>
      </c>
    </row>
    <row r="286" spans="1:12" x14ac:dyDescent="0.25">
      <c r="A286" t="s">
        <v>69</v>
      </c>
      <c r="B286" t="s">
        <v>12</v>
      </c>
      <c r="C286">
        <v>7</v>
      </c>
      <c r="D286" t="s">
        <v>38</v>
      </c>
      <c r="E286" t="str">
        <f>'CUMPLIMIENTO GUARDIAS'!J286</f>
        <v>C</v>
      </c>
      <c r="F286" s="34">
        <f>'CUMPLIMIENTO GUARDIAS'!I286</f>
        <v>1</v>
      </c>
      <c r="G286" t="str">
        <f>'CUMPLIMIENTO GUARDIAS'!E286</f>
        <v>C</v>
      </c>
      <c r="H286" t="str">
        <f>'CUMPLIMIENTO GUARDIAS'!F286</f>
        <v>C</v>
      </c>
      <c r="I286" t="str">
        <f>'CUMPLIMIENTO GUARDIAS'!G286</f>
        <v>C</v>
      </c>
      <c r="J286">
        <f>--(C286&lt;=MATCH('DASHBOARD AVANZADO'!$G$3,'DASHBOARD AVANZADO'!$Q$1:$Q$12,0))</f>
        <v>1</v>
      </c>
      <c r="K286">
        <f t="shared" si="4"/>
        <v>1</v>
      </c>
      <c r="L286">
        <v>286</v>
      </c>
    </row>
    <row r="287" spans="1:12" x14ac:dyDescent="0.25">
      <c r="A287" t="s">
        <v>69</v>
      </c>
      <c r="B287" t="s">
        <v>12</v>
      </c>
      <c r="C287">
        <v>7</v>
      </c>
      <c r="D287" t="s">
        <v>87</v>
      </c>
      <c r="E287" t="str">
        <f>'CUMPLIMIENTO GUARDIAS'!J287</f>
        <v>F</v>
      </c>
      <c r="F287" s="34">
        <f>'CUMPLIMIENTO GUARDIAS'!I287</f>
        <v>0</v>
      </c>
      <c r="G287">
        <f>'CUMPLIMIENTO GUARDIAS'!E287</f>
        <v>0</v>
      </c>
      <c r="H287">
        <f>'CUMPLIMIENTO GUARDIAS'!F287</f>
        <v>0</v>
      </c>
      <c r="I287">
        <f>'CUMPLIMIENTO GUARDIAS'!G287</f>
        <v>0</v>
      </c>
      <c r="J287">
        <f>--(C287&lt;=MATCH('DASHBOARD AVANZADO'!$G$3,'DASHBOARD AVANZADO'!$Q$1:$Q$12,0))</f>
        <v>1</v>
      </c>
      <c r="K287">
        <f t="shared" si="4"/>
        <v>0</v>
      </c>
      <c r="L287">
        <v>287</v>
      </c>
    </row>
    <row r="288" spans="1:12" x14ac:dyDescent="0.25">
      <c r="A288" t="s">
        <v>69</v>
      </c>
      <c r="B288" t="s">
        <v>12</v>
      </c>
      <c r="C288">
        <v>7</v>
      </c>
      <c r="D288" t="s">
        <v>51</v>
      </c>
      <c r="E288" t="str">
        <f>'CUMPLIMIENTO GUARDIAS'!J288</f>
        <v>EP</v>
      </c>
      <c r="F288" s="34">
        <f>'CUMPLIMIENTO GUARDIAS'!I288</f>
        <v>0</v>
      </c>
      <c r="G288" t="str">
        <f>'CUMPLIMIENTO GUARDIAS'!E288</f>
        <v>EP</v>
      </c>
      <c r="H288" t="str">
        <f>'CUMPLIMIENTO GUARDIAS'!F288</f>
        <v>EP</v>
      </c>
      <c r="I288" t="str">
        <f>'CUMPLIMIENTO GUARDIAS'!G288</f>
        <v>EP</v>
      </c>
      <c r="J288">
        <f>--(C288&lt;=MATCH('DASHBOARD AVANZADO'!$G$3,'DASHBOARD AVANZADO'!$Q$1:$Q$12,0))</f>
        <v>1</v>
      </c>
      <c r="K288">
        <f t="shared" si="4"/>
        <v>0</v>
      </c>
      <c r="L288">
        <v>288</v>
      </c>
    </row>
    <row r="289" spans="1:12" x14ac:dyDescent="0.25">
      <c r="A289" t="s">
        <v>69</v>
      </c>
      <c r="B289" t="s">
        <v>13</v>
      </c>
      <c r="C289">
        <v>8</v>
      </c>
      <c r="D289" t="s">
        <v>52</v>
      </c>
      <c r="E289">
        <f>'CUMPLIMIENTO GUARDIAS'!J289</f>
        <v>0</v>
      </c>
      <c r="F289" s="34">
        <f>'CUMPLIMIENTO GUARDIAS'!I289</f>
        <v>0</v>
      </c>
      <c r="G289">
        <f>'CUMPLIMIENTO GUARDIAS'!E289</f>
        <v>0</v>
      </c>
      <c r="H289">
        <f>'CUMPLIMIENTO GUARDIAS'!F289</f>
        <v>0</v>
      </c>
      <c r="I289">
        <f>'CUMPLIMIENTO GUARDIAS'!G289</f>
        <v>0</v>
      </c>
      <c r="J289">
        <f>--(C289&lt;=MATCH('DASHBOARD AVANZADO'!$G$3,'DASHBOARD AVANZADO'!$Q$1:$Q$12,0))</f>
        <v>0</v>
      </c>
      <c r="K289">
        <f t="shared" si="4"/>
        <v>0</v>
      </c>
      <c r="L289">
        <v>289</v>
      </c>
    </row>
    <row r="290" spans="1:12" x14ac:dyDescent="0.25">
      <c r="A290" t="s">
        <v>69</v>
      </c>
      <c r="B290" t="s">
        <v>13</v>
      </c>
      <c r="C290">
        <v>8</v>
      </c>
      <c r="D290" t="s">
        <v>53</v>
      </c>
      <c r="E290">
        <f>'CUMPLIMIENTO GUARDIAS'!J290</f>
        <v>0</v>
      </c>
      <c r="F290" s="34">
        <f>'CUMPLIMIENTO GUARDIAS'!I290</f>
        <v>0</v>
      </c>
      <c r="G290">
        <f>'CUMPLIMIENTO GUARDIAS'!E290</f>
        <v>0</v>
      </c>
      <c r="H290">
        <f>'CUMPLIMIENTO GUARDIAS'!F290</f>
        <v>0</v>
      </c>
      <c r="I290">
        <f>'CUMPLIMIENTO GUARDIAS'!G290</f>
        <v>0</v>
      </c>
      <c r="J290">
        <f>--(C290&lt;=MATCH('DASHBOARD AVANZADO'!$G$3,'DASHBOARD AVANZADO'!$Q$1:$Q$12,0))</f>
        <v>0</v>
      </c>
      <c r="K290">
        <f t="shared" si="4"/>
        <v>0</v>
      </c>
      <c r="L290">
        <v>290</v>
      </c>
    </row>
    <row r="291" spans="1:12" x14ac:dyDescent="0.25">
      <c r="A291" t="s">
        <v>69</v>
      </c>
      <c r="B291" t="s">
        <v>13</v>
      </c>
      <c r="C291">
        <v>8</v>
      </c>
      <c r="D291" t="s">
        <v>54</v>
      </c>
      <c r="E291">
        <f>'CUMPLIMIENTO GUARDIAS'!J291</f>
        <v>0</v>
      </c>
      <c r="F291" s="34">
        <f>'CUMPLIMIENTO GUARDIAS'!I291</f>
        <v>0</v>
      </c>
      <c r="G291">
        <f>'CUMPLIMIENTO GUARDIAS'!E291</f>
        <v>0</v>
      </c>
      <c r="H291">
        <f>'CUMPLIMIENTO GUARDIAS'!F291</f>
        <v>0</v>
      </c>
      <c r="I291">
        <f>'CUMPLIMIENTO GUARDIAS'!G291</f>
        <v>0</v>
      </c>
      <c r="J291">
        <f>--(C291&lt;=MATCH('DASHBOARD AVANZADO'!$G$3,'DASHBOARD AVANZADO'!$Q$1:$Q$12,0))</f>
        <v>0</v>
      </c>
      <c r="K291">
        <f t="shared" si="4"/>
        <v>0</v>
      </c>
      <c r="L291">
        <v>291</v>
      </c>
    </row>
    <row r="292" spans="1:12" x14ac:dyDescent="0.25">
      <c r="A292" t="s">
        <v>69</v>
      </c>
      <c r="B292" t="s">
        <v>14</v>
      </c>
      <c r="C292">
        <v>9</v>
      </c>
      <c r="D292" t="s">
        <v>55</v>
      </c>
      <c r="E292">
        <f>'CUMPLIMIENTO GUARDIAS'!J292</f>
        <v>0</v>
      </c>
      <c r="F292" s="34">
        <f>'CUMPLIMIENTO GUARDIAS'!I292</f>
        <v>0</v>
      </c>
      <c r="G292">
        <f>'CUMPLIMIENTO GUARDIAS'!E292</f>
        <v>0</v>
      </c>
      <c r="H292">
        <f>'CUMPLIMIENTO GUARDIAS'!F292</f>
        <v>0</v>
      </c>
      <c r="I292">
        <f>'CUMPLIMIENTO GUARDIAS'!G292</f>
        <v>0</v>
      </c>
      <c r="J292">
        <f>--(C292&lt;=MATCH('DASHBOARD AVANZADO'!$G$3,'DASHBOARD AVANZADO'!$Q$1:$Q$12,0))</f>
        <v>0</v>
      </c>
      <c r="K292">
        <f t="shared" si="4"/>
        <v>0</v>
      </c>
      <c r="L292">
        <v>292</v>
      </c>
    </row>
    <row r="293" spans="1:12" x14ac:dyDescent="0.25">
      <c r="A293" t="s">
        <v>69</v>
      </c>
      <c r="B293" t="s">
        <v>14</v>
      </c>
      <c r="C293">
        <v>9</v>
      </c>
      <c r="D293" t="s">
        <v>56</v>
      </c>
      <c r="E293">
        <f>'CUMPLIMIENTO GUARDIAS'!J293</f>
        <v>0</v>
      </c>
      <c r="F293" s="34">
        <f>'CUMPLIMIENTO GUARDIAS'!I293</f>
        <v>0</v>
      </c>
      <c r="G293">
        <f>'CUMPLIMIENTO GUARDIAS'!E293</f>
        <v>0</v>
      </c>
      <c r="H293">
        <f>'CUMPLIMIENTO GUARDIAS'!F293</f>
        <v>0</v>
      </c>
      <c r="I293">
        <f>'CUMPLIMIENTO GUARDIAS'!G293</f>
        <v>0</v>
      </c>
      <c r="J293">
        <f>--(C293&lt;=MATCH('DASHBOARD AVANZADO'!$G$3,'DASHBOARD AVANZADO'!$Q$1:$Q$12,0))</f>
        <v>0</v>
      </c>
      <c r="K293">
        <f t="shared" si="4"/>
        <v>0</v>
      </c>
      <c r="L293">
        <v>293</v>
      </c>
    </row>
    <row r="294" spans="1:12" x14ac:dyDescent="0.25">
      <c r="A294" t="s">
        <v>69</v>
      </c>
      <c r="B294" t="s">
        <v>15</v>
      </c>
      <c r="C294">
        <v>10</v>
      </c>
      <c r="D294" t="s">
        <v>20</v>
      </c>
      <c r="E294">
        <f>'CUMPLIMIENTO GUARDIAS'!J294</f>
        <v>0</v>
      </c>
      <c r="F294" s="34">
        <f>'CUMPLIMIENTO GUARDIAS'!I294</f>
        <v>0</v>
      </c>
      <c r="G294">
        <f>'CUMPLIMIENTO GUARDIAS'!E294</f>
        <v>0</v>
      </c>
      <c r="H294">
        <f>'CUMPLIMIENTO GUARDIAS'!F294</f>
        <v>0</v>
      </c>
      <c r="I294">
        <f>'CUMPLIMIENTO GUARDIAS'!G294</f>
        <v>0</v>
      </c>
      <c r="J294">
        <f>--(C294&lt;=MATCH('DASHBOARD AVANZADO'!$G$3,'DASHBOARD AVANZADO'!$Q$1:$Q$12,0))</f>
        <v>0</v>
      </c>
      <c r="K294">
        <f t="shared" si="4"/>
        <v>0</v>
      </c>
      <c r="L294">
        <v>294</v>
      </c>
    </row>
    <row r="295" spans="1:12" x14ac:dyDescent="0.25">
      <c r="A295" t="s">
        <v>69</v>
      </c>
      <c r="B295" t="s">
        <v>15</v>
      </c>
      <c r="C295">
        <v>10</v>
      </c>
      <c r="D295" t="s">
        <v>42</v>
      </c>
      <c r="E295">
        <f>'CUMPLIMIENTO GUARDIAS'!J295</f>
        <v>0</v>
      </c>
      <c r="F295" s="34">
        <f>'CUMPLIMIENTO GUARDIAS'!I295</f>
        <v>0</v>
      </c>
      <c r="G295">
        <f>'CUMPLIMIENTO GUARDIAS'!E295</f>
        <v>0</v>
      </c>
      <c r="H295">
        <f>'CUMPLIMIENTO GUARDIAS'!F295</f>
        <v>0</v>
      </c>
      <c r="I295">
        <f>'CUMPLIMIENTO GUARDIAS'!G295</f>
        <v>0</v>
      </c>
      <c r="J295">
        <f>--(C295&lt;=MATCH('DASHBOARD AVANZADO'!$G$3,'DASHBOARD AVANZADO'!$Q$1:$Q$12,0))</f>
        <v>0</v>
      </c>
      <c r="K295">
        <f t="shared" si="4"/>
        <v>0</v>
      </c>
      <c r="L295">
        <v>295</v>
      </c>
    </row>
    <row r="296" spans="1:12" x14ac:dyDescent="0.25">
      <c r="A296" t="s">
        <v>69</v>
      </c>
      <c r="B296" t="s">
        <v>16</v>
      </c>
      <c r="C296">
        <v>11</v>
      </c>
      <c r="D296" t="s">
        <v>57</v>
      </c>
      <c r="E296">
        <f>'CUMPLIMIENTO GUARDIAS'!J296</f>
        <v>0</v>
      </c>
      <c r="F296" s="34">
        <f>'CUMPLIMIENTO GUARDIAS'!I296</f>
        <v>0</v>
      </c>
      <c r="G296">
        <f>'CUMPLIMIENTO GUARDIAS'!E296</f>
        <v>0</v>
      </c>
      <c r="H296">
        <f>'CUMPLIMIENTO GUARDIAS'!F296</f>
        <v>0</v>
      </c>
      <c r="I296">
        <f>'CUMPLIMIENTO GUARDIAS'!G296</f>
        <v>0</v>
      </c>
      <c r="J296">
        <f>--(C296&lt;=MATCH('DASHBOARD AVANZADO'!$G$3,'DASHBOARD AVANZADO'!$Q$1:$Q$12,0))</f>
        <v>0</v>
      </c>
      <c r="K296">
        <f t="shared" si="4"/>
        <v>0</v>
      </c>
      <c r="L296">
        <v>296</v>
      </c>
    </row>
    <row r="297" spans="1:12" x14ac:dyDescent="0.25">
      <c r="A297" t="s">
        <v>69</v>
      </c>
      <c r="B297" t="s">
        <v>16</v>
      </c>
      <c r="C297">
        <v>11</v>
      </c>
      <c r="D297" t="s">
        <v>39</v>
      </c>
      <c r="E297">
        <f>'CUMPLIMIENTO GUARDIAS'!J297</f>
        <v>0</v>
      </c>
      <c r="F297" s="34">
        <f>'CUMPLIMIENTO GUARDIAS'!I297</f>
        <v>0</v>
      </c>
      <c r="G297">
        <f>'CUMPLIMIENTO GUARDIAS'!E297</f>
        <v>0</v>
      </c>
      <c r="H297">
        <f>'CUMPLIMIENTO GUARDIAS'!F297</f>
        <v>0</v>
      </c>
      <c r="I297">
        <f>'CUMPLIMIENTO GUARDIAS'!G297</f>
        <v>0</v>
      </c>
      <c r="J297">
        <f>--(C297&lt;=MATCH('DASHBOARD AVANZADO'!$G$3,'DASHBOARD AVANZADO'!$Q$1:$Q$12,0))</f>
        <v>0</v>
      </c>
      <c r="K297">
        <f t="shared" si="4"/>
        <v>0</v>
      </c>
      <c r="L297">
        <v>297</v>
      </c>
    </row>
    <row r="298" spans="1:12" x14ac:dyDescent="0.25">
      <c r="A298" t="s">
        <v>69</v>
      </c>
      <c r="B298" t="s">
        <v>17</v>
      </c>
      <c r="C298">
        <v>12</v>
      </c>
      <c r="D298" t="s">
        <v>38</v>
      </c>
      <c r="E298">
        <f>'CUMPLIMIENTO GUARDIAS'!J298</f>
        <v>0</v>
      </c>
      <c r="F298" s="34">
        <f>'CUMPLIMIENTO GUARDIAS'!I298</f>
        <v>0</v>
      </c>
      <c r="G298">
        <f>'CUMPLIMIENTO GUARDIAS'!E298</f>
        <v>0</v>
      </c>
      <c r="H298">
        <f>'CUMPLIMIENTO GUARDIAS'!F298</f>
        <v>0</v>
      </c>
      <c r="I298">
        <f>'CUMPLIMIENTO GUARDIAS'!G298</f>
        <v>0</v>
      </c>
      <c r="J298">
        <f>--(C298&lt;=MATCH('DASHBOARD AVANZADO'!$G$3,'DASHBOARD AVANZADO'!$Q$1:$Q$12,0))</f>
        <v>0</v>
      </c>
      <c r="K298">
        <f t="shared" si="4"/>
        <v>0</v>
      </c>
      <c r="L298">
        <v>298</v>
      </c>
    </row>
    <row r="299" spans="1:12" x14ac:dyDescent="0.25">
      <c r="A299" t="s">
        <v>70</v>
      </c>
      <c r="B299" t="s">
        <v>6</v>
      </c>
      <c r="C299">
        <v>1</v>
      </c>
      <c r="D299" t="s">
        <v>38</v>
      </c>
      <c r="E299" t="str">
        <f>'CUMPLIMIENTO GUARDIAS'!J299</f>
        <v>C</v>
      </c>
      <c r="F299" s="34">
        <f>'CUMPLIMIENTO GUARDIAS'!I299</f>
        <v>1</v>
      </c>
      <c r="G299" t="str">
        <f>'CUMPLIMIENTO GUARDIAS'!E299</f>
        <v>C</v>
      </c>
      <c r="H299" t="str">
        <f>'CUMPLIMIENTO GUARDIAS'!F299</f>
        <v>C</v>
      </c>
      <c r="I299" t="str">
        <f>'CUMPLIMIENTO GUARDIAS'!G299</f>
        <v>C</v>
      </c>
      <c r="J299">
        <f>--(C299&lt;=MATCH('DASHBOARD AVANZADO'!$G$3,'DASHBOARD AVANZADO'!$Q$1:$Q$12,0))</f>
        <v>1</v>
      </c>
      <c r="K299">
        <f t="shared" si="4"/>
        <v>1</v>
      </c>
      <c r="L299">
        <v>299</v>
      </c>
    </row>
    <row r="300" spans="1:12" x14ac:dyDescent="0.25">
      <c r="A300" t="s">
        <v>70</v>
      </c>
      <c r="B300" t="s">
        <v>6</v>
      </c>
      <c r="C300">
        <v>1</v>
      </c>
      <c r="D300" t="s">
        <v>39</v>
      </c>
      <c r="E300" t="str">
        <f>'CUMPLIMIENTO GUARDIAS'!J300</f>
        <v>C</v>
      </c>
      <c r="F300" s="34">
        <f>'CUMPLIMIENTO GUARDIAS'!I300</f>
        <v>1</v>
      </c>
      <c r="G300" t="str">
        <f>'CUMPLIMIENTO GUARDIAS'!E300</f>
        <v>C</v>
      </c>
      <c r="H300" t="str">
        <f>'CUMPLIMIENTO GUARDIAS'!F300</f>
        <v>C</v>
      </c>
      <c r="I300" t="str">
        <f>'CUMPLIMIENTO GUARDIAS'!G300</f>
        <v>C</v>
      </c>
      <c r="J300">
        <f>--(C300&lt;=MATCH('DASHBOARD AVANZADO'!$G$3,'DASHBOARD AVANZADO'!$Q$1:$Q$12,0))</f>
        <v>1</v>
      </c>
      <c r="K300">
        <f t="shared" si="4"/>
        <v>1</v>
      </c>
      <c r="L300">
        <v>300</v>
      </c>
    </row>
    <row r="301" spans="1:12" x14ac:dyDescent="0.25">
      <c r="A301" t="s">
        <v>70</v>
      </c>
      <c r="B301" t="s">
        <v>7</v>
      </c>
      <c r="C301">
        <v>2</v>
      </c>
      <c r="D301" t="s">
        <v>40</v>
      </c>
      <c r="E301" t="str">
        <f>'CUMPLIMIENTO GUARDIAS'!J301</f>
        <v>C</v>
      </c>
      <c r="F301" s="34">
        <f>'CUMPLIMIENTO GUARDIAS'!I301</f>
        <v>1</v>
      </c>
      <c r="G301" t="str">
        <f>'CUMPLIMIENTO GUARDIAS'!E301</f>
        <v>C</v>
      </c>
      <c r="H301" t="str">
        <f>'CUMPLIMIENTO GUARDIAS'!F301</f>
        <v>C</v>
      </c>
      <c r="I301" t="str">
        <f>'CUMPLIMIENTO GUARDIAS'!G301</f>
        <v>C</v>
      </c>
      <c r="J301">
        <f>--(C301&lt;=MATCH('DASHBOARD AVANZADO'!$G$3,'DASHBOARD AVANZADO'!$Q$1:$Q$12,0))</f>
        <v>1</v>
      </c>
      <c r="K301">
        <f t="shared" si="4"/>
        <v>1</v>
      </c>
      <c r="L301">
        <v>301</v>
      </c>
    </row>
    <row r="302" spans="1:12" x14ac:dyDescent="0.25">
      <c r="A302" t="s">
        <v>70</v>
      </c>
      <c r="B302" t="s">
        <v>7</v>
      </c>
      <c r="C302">
        <v>2</v>
      </c>
      <c r="D302" t="s">
        <v>20</v>
      </c>
      <c r="E302" t="str">
        <f>'CUMPLIMIENTO GUARDIAS'!J302</f>
        <v>C</v>
      </c>
      <c r="F302" s="34">
        <f>'CUMPLIMIENTO GUARDIAS'!I302</f>
        <v>1</v>
      </c>
      <c r="G302" t="str">
        <f>'CUMPLIMIENTO GUARDIAS'!E302</f>
        <v>C</v>
      </c>
      <c r="H302" t="str">
        <f>'CUMPLIMIENTO GUARDIAS'!F302</f>
        <v>C</v>
      </c>
      <c r="I302" t="str">
        <f>'CUMPLIMIENTO GUARDIAS'!G302</f>
        <v>C</v>
      </c>
      <c r="J302">
        <f>--(C302&lt;=MATCH('DASHBOARD AVANZADO'!$G$3,'DASHBOARD AVANZADO'!$Q$1:$Q$12,0))</f>
        <v>1</v>
      </c>
      <c r="K302">
        <f t="shared" si="4"/>
        <v>1</v>
      </c>
      <c r="L302">
        <v>302</v>
      </c>
    </row>
    <row r="303" spans="1:12" x14ac:dyDescent="0.25">
      <c r="A303" t="s">
        <v>70</v>
      </c>
      <c r="B303" t="s">
        <v>8</v>
      </c>
      <c r="C303">
        <v>3</v>
      </c>
      <c r="D303" t="s">
        <v>41</v>
      </c>
      <c r="E303" t="str">
        <f>'CUMPLIMIENTO GUARDIAS'!J303</f>
        <v>C</v>
      </c>
      <c r="F303" s="34">
        <f>'CUMPLIMIENTO GUARDIAS'!I303</f>
        <v>1</v>
      </c>
      <c r="G303" t="str">
        <f>'CUMPLIMIENTO GUARDIAS'!E303</f>
        <v>C</v>
      </c>
      <c r="H303" t="str">
        <f>'CUMPLIMIENTO GUARDIAS'!F303</f>
        <v>C</v>
      </c>
      <c r="I303" t="str">
        <f>'CUMPLIMIENTO GUARDIAS'!G303</f>
        <v>C</v>
      </c>
      <c r="J303">
        <f>--(C303&lt;=MATCH('DASHBOARD AVANZADO'!$G$3,'DASHBOARD AVANZADO'!$Q$1:$Q$12,0))</f>
        <v>1</v>
      </c>
      <c r="K303">
        <f t="shared" si="4"/>
        <v>1</v>
      </c>
      <c r="L303">
        <v>303</v>
      </c>
    </row>
    <row r="304" spans="1:12" x14ac:dyDescent="0.25">
      <c r="A304" t="s">
        <v>70</v>
      </c>
      <c r="B304" t="s">
        <v>8</v>
      </c>
      <c r="C304">
        <v>3</v>
      </c>
      <c r="D304" t="s">
        <v>42</v>
      </c>
      <c r="E304" t="str">
        <f>'CUMPLIMIENTO GUARDIAS'!J304</f>
        <v>C</v>
      </c>
      <c r="F304" s="34">
        <f>'CUMPLIMIENTO GUARDIAS'!I304</f>
        <v>1</v>
      </c>
      <c r="G304" t="str">
        <f>'CUMPLIMIENTO GUARDIAS'!E304</f>
        <v>C</v>
      </c>
      <c r="H304" t="str">
        <f>'CUMPLIMIENTO GUARDIAS'!F304</f>
        <v>C</v>
      </c>
      <c r="I304" t="str">
        <f>'CUMPLIMIENTO GUARDIAS'!G304</f>
        <v>C</v>
      </c>
      <c r="J304">
        <f>--(C304&lt;=MATCH('DASHBOARD AVANZADO'!$G$3,'DASHBOARD AVANZADO'!$Q$1:$Q$12,0))</f>
        <v>1</v>
      </c>
      <c r="K304">
        <f t="shared" si="4"/>
        <v>1</v>
      </c>
      <c r="L304">
        <v>304</v>
      </c>
    </row>
    <row r="305" spans="1:12" x14ac:dyDescent="0.25">
      <c r="A305" t="s">
        <v>70</v>
      </c>
      <c r="B305" t="s">
        <v>9</v>
      </c>
      <c r="C305">
        <v>4</v>
      </c>
      <c r="D305" t="s">
        <v>43</v>
      </c>
      <c r="E305" t="str">
        <f>'CUMPLIMIENTO GUARDIAS'!J305</f>
        <v>C</v>
      </c>
      <c r="F305" s="34">
        <f>'CUMPLIMIENTO GUARDIAS'!I305</f>
        <v>1</v>
      </c>
      <c r="G305" t="str">
        <f>'CUMPLIMIENTO GUARDIAS'!E305</f>
        <v>C</v>
      </c>
      <c r="H305" t="str">
        <f>'CUMPLIMIENTO GUARDIAS'!F305</f>
        <v>C</v>
      </c>
      <c r="I305" t="str">
        <f>'CUMPLIMIENTO GUARDIAS'!G305</f>
        <v>C</v>
      </c>
      <c r="J305">
        <f>--(C305&lt;=MATCH('DASHBOARD AVANZADO'!$G$3,'DASHBOARD AVANZADO'!$Q$1:$Q$12,0))</f>
        <v>1</v>
      </c>
      <c r="K305">
        <f t="shared" si="4"/>
        <v>1</v>
      </c>
      <c r="L305">
        <v>305</v>
      </c>
    </row>
    <row r="306" spans="1:12" x14ac:dyDescent="0.25">
      <c r="A306" t="s">
        <v>70</v>
      </c>
      <c r="B306" t="s">
        <v>9</v>
      </c>
      <c r="C306">
        <v>4</v>
      </c>
      <c r="D306" t="s">
        <v>44</v>
      </c>
      <c r="E306" t="str">
        <f>'CUMPLIMIENTO GUARDIAS'!J306</f>
        <v>C</v>
      </c>
      <c r="F306" s="34">
        <f>'CUMPLIMIENTO GUARDIAS'!I306</f>
        <v>1</v>
      </c>
      <c r="G306" t="str">
        <f>'CUMPLIMIENTO GUARDIAS'!E306</f>
        <v>C</v>
      </c>
      <c r="H306" t="str">
        <f>'CUMPLIMIENTO GUARDIAS'!F306</f>
        <v>C</v>
      </c>
      <c r="I306" t="str">
        <f>'CUMPLIMIENTO GUARDIAS'!G306</f>
        <v>C</v>
      </c>
      <c r="J306">
        <f>--(C306&lt;=MATCH('DASHBOARD AVANZADO'!$G$3,'DASHBOARD AVANZADO'!$Q$1:$Q$12,0))</f>
        <v>1</v>
      </c>
      <c r="K306">
        <f t="shared" si="4"/>
        <v>1</v>
      </c>
      <c r="L306">
        <v>306</v>
      </c>
    </row>
    <row r="307" spans="1:12" x14ac:dyDescent="0.25">
      <c r="A307" t="s">
        <v>70</v>
      </c>
      <c r="B307" t="s">
        <v>9</v>
      </c>
      <c r="C307">
        <v>4</v>
      </c>
      <c r="D307" t="s">
        <v>45</v>
      </c>
      <c r="E307" t="str">
        <f>'CUMPLIMIENTO GUARDIAS'!J307</f>
        <v>C</v>
      </c>
      <c r="F307" s="34">
        <f>'CUMPLIMIENTO GUARDIAS'!I307</f>
        <v>1</v>
      </c>
      <c r="G307" t="str">
        <f>'CUMPLIMIENTO GUARDIAS'!E307</f>
        <v>C</v>
      </c>
      <c r="H307" t="str">
        <f>'CUMPLIMIENTO GUARDIAS'!F307</f>
        <v>C</v>
      </c>
      <c r="I307" t="str">
        <f>'CUMPLIMIENTO GUARDIAS'!G307</f>
        <v>C</v>
      </c>
      <c r="J307">
        <f>--(C307&lt;=MATCH('DASHBOARD AVANZADO'!$G$3,'DASHBOARD AVANZADO'!$Q$1:$Q$12,0))</f>
        <v>1</v>
      </c>
      <c r="K307">
        <f t="shared" si="4"/>
        <v>1</v>
      </c>
      <c r="L307">
        <v>307</v>
      </c>
    </row>
    <row r="308" spans="1:12" x14ac:dyDescent="0.25">
      <c r="A308" t="s">
        <v>70</v>
      </c>
      <c r="B308" t="s">
        <v>10</v>
      </c>
      <c r="C308">
        <v>5</v>
      </c>
      <c r="D308" t="s">
        <v>46</v>
      </c>
      <c r="E308" t="str">
        <f>'CUMPLIMIENTO GUARDIAS'!J308</f>
        <v>C</v>
      </c>
      <c r="F308" s="34">
        <f>'CUMPLIMIENTO GUARDIAS'!I308</f>
        <v>1</v>
      </c>
      <c r="G308" t="str">
        <f>'CUMPLIMIENTO GUARDIAS'!E308</f>
        <v>C</v>
      </c>
      <c r="H308" t="str">
        <f>'CUMPLIMIENTO GUARDIAS'!F308</f>
        <v>C</v>
      </c>
      <c r="I308" t="str">
        <f>'CUMPLIMIENTO GUARDIAS'!G308</f>
        <v>C</v>
      </c>
      <c r="J308">
        <f>--(C308&lt;=MATCH('DASHBOARD AVANZADO'!$G$3,'DASHBOARD AVANZADO'!$Q$1:$Q$12,0))</f>
        <v>1</v>
      </c>
      <c r="K308">
        <f t="shared" si="4"/>
        <v>1</v>
      </c>
      <c r="L308">
        <v>308</v>
      </c>
    </row>
    <row r="309" spans="1:12" x14ac:dyDescent="0.25">
      <c r="A309" t="s">
        <v>70</v>
      </c>
      <c r="B309" t="s">
        <v>10</v>
      </c>
      <c r="C309">
        <v>5</v>
      </c>
      <c r="D309" t="s">
        <v>47</v>
      </c>
      <c r="E309" t="str">
        <f>'CUMPLIMIENTO GUARDIAS'!J309</f>
        <v>C</v>
      </c>
      <c r="F309" s="34">
        <f>'CUMPLIMIENTO GUARDIAS'!I309</f>
        <v>1</v>
      </c>
      <c r="G309" t="str">
        <f>'CUMPLIMIENTO GUARDIAS'!E309</f>
        <v>C</v>
      </c>
      <c r="H309" t="str">
        <f>'CUMPLIMIENTO GUARDIAS'!F309</f>
        <v>C</v>
      </c>
      <c r="I309" t="str">
        <f>'CUMPLIMIENTO GUARDIAS'!G309</f>
        <v>C</v>
      </c>
      <c r="J309">
        <f>--(C309&lt;=MATCH('DASHBOARD AVANZADO'!$G$3,'DASHBOARD AVANZADO'!$Q$1:$Q$12,0))</f>
        <v>1</v>
      </c>
      <c r="K309">
        <f t="shared" si="4"/>
        <v>1</v>
      </c>
      <c r="L309">
        <v>309</v>
      </c>
    </row>
    <row r="310" spans="1:12" x14ac:dyDescent="0.25">
      <c r="A310" t="s">
        <v>70</v>
      </c>
      <c r="B310" t="s">
        <v>11</v>
      </c>
      <c r="C310">
        <v>6</v>
      </c>
      <c r="D310" t="s">
        <v>20</v>
      </c>
      <c r="E310" t="str">
        <f>'CUMPLIMIENTO GUARDIAS'!J310</f>
        <v>C</v>
      </c>
      <c r="F310" s="34">
        <f>'CUMPLIMIENTO GUARDIAS'!I310</f>
        <v>1</v>
      </c>
      <c r="G310" t="str">
        <f>'CUMPLIMIENTO GUARDIAS'!E310</f>
        <v>C</v>
      </c>
      <c r="H310" t="str">
        <f>'CUMPLIMIENTO GUARDIAS'!F310</f>
        <v>C</v>
      </c>
      <c r="I310" t="str">
        <f>'CUMPLIMIENTO GUARDIAS'!G310</f>
        <v>C</v>
      </c>
      <c r="J310">
        <f>--(C310&lt;=MATCH('DASHBOARD AVANZADO'!$G$3,'DASHBOARD AVANZADO'!$Q$1:$Q$12,0))</f>
        <v>1</v>
      </c>
      <c r="K310">
        <f t="shared" si="4"/>
        <v>1</v>
      </c>
      <c r="L310">
        <v>310</v>
      </c>
    </row>
    <row r="311" spans="1:12" x14ac:dyDescent="0.25">
      <c r="A311" t="s">
        <v>70</v>
      </c>
      <c r="B311" t="s">
        <v>11</v>
      </c>
      <c r="C311">
        <v>6</v>
      </c>
      <c r="D311" t="s">
        <v>48</v>
      </c>
      <c r="E311" t="str">
        <f>'CUMPLIMIENTO GUARDIAS'!J311</f>
        <v>C</v>
      </c>
      <c r="F311" s="34">
        <f>'CUMPLIMIENTO GUARDIAS'!I311</f>
        <v>1</v>
      </c>
      <c r="G311" t="str">
        <f>'CUMPLIMIENTO GUARDIAS'!E311</f>
        <v>C</v>
      </c>
      <c r="H311" t="str">
        <f>'CUMPLIMIENTO GUARDIAS'!F311</f>
        <v>C</v>
      </c>
      <c r="I311" t="str">
        <f>'CUMPLIMIENTO GUARDIAS'!G311</f>
        <v>C</v>
      </c>
      <c r="J311">
        <f>--(C311&lt;=MATCH('DASHBOARD AVANZADO'!$G$3,'DASHBOARD AVANZADO'!$Q$1:$Q$12,0))</f>
        <v>1</v>
      </c>
      <c r="K311">
        <f t="shared" si="4"/>
        <v>1</v>
      </c>
      <c r="L311">
        <v>311</v>
      </c>
    </row>
    <row r="312" spans="1:12" x14ac:dyDescent="0.25">
      <c r="A312" t="s">
        <v>70</v>
      </c>
      <c r="B312" t="s">
        <v>11</v>
      </c>
      <c r="C312">
        <v>6</v>
      </c>
      <c r="D312" t="s">
        <v>49</v>
      </c>
      <c r="E312" t="str">
        <f>'CUMPLIMIENTO GUARDIAS'!J312</f>
        <v>F</v>
      </c>
      <c r="F312" s="34">
        <f>'CUMPLIMIENTO GUARDIAS'!I312</f>
        <v>0</v>
      </c>
      <c r="G312" t="str">
        <f>'CUMPLIMIENTO GUARDIAS'!E312</f>
        <v>F</v>
      </c>
      <c r="H312" t="str">
        <f>'CUMPLIMIENTO GUARDIAS'!F312</f>
        <v>F</v>
      </c>
      <c r="I312" t="str">
        <f>'CUMPLIMIENTO GUARDIAS'!G312</f>
        <v>F</v>
      </c>
      <c r="J312">
        <f>--(C312&lt;=MATCH('DASHBOARD AVANZADO'!$G$3,'DASHBOARD AVANZADO'!$Q$1:$Q$12,0))</f>
        <v>1</v>
      </c>
      <c r="K312">
        <f t="shared" si="4"/>
        <v>0</v>
      </c>
      <c r="L312">
        <v>312</v>
      </c>
    </row>
    <row r="313" spans="1:12" x14ac:dyDescent="0.25">
      <c r="A313" t="s">
        <v>70</v>
      </c>
      <c r="B313" t="s">
        <v>12</v>
      </c>
      <c r="C313">
        <v>7</v>
      </c>
      <c r="D313" t="s">
        <v>38</v>
      </c>
      <c r="E313" t="str">
        <f>'CUMPLIMIENTO GUARDIAS'!J313</f>
        <v>C</v>
      </c>
      <c r="F313" s="34">
        <f>'CUMPLIMIENTO GUARDIAS'!I313</f>
        <v>1</v>
      </c>
      <c r="G313" t="str">
        <f>'CUMPLIMIENTO GUARDIAS'!E313</f>
        <v>C</v>
      </c>
      <c r="H313" t="str">
        <f>'CUMPLIMIENTO GUARDIAS'!F313</f>
        <v>C</v>
      </c>
      <c r="I313" t="str">
        <f>'CUMPLIMIENTO GUARDIAS'!G313</f>
        <v>C</v>
      </c>
      <c r="J313">
        <f>--(C313&lt;=MATCH('DASHBOARD AVANZADO'!$G$3,'DASHBOARD AVANZADO'!$Q$1:$Q$12,0))</f>
        <v>1</v>
      </c>
      <c r="K313">
        <f t="shared" si="4"/>
        <v>1</v>
      </c>
      <c r="L313">
        <v>313</v>
      </c>
    </row>
    <row r="314" spans="1:12" x14ac:dyDescent="0.25">
      <c r="A314" t="s">
        <v>70</v>
      </c>
      <c r="B314" t="s">
        <v>12</v>
      </c>
      <c r="C314">
        <v>7</v>
      </c>
      <c r="D314" t="s">
        <v>87</v>
      </c>
      <c r="E314" t="str">
        <f>'CUMPLIMIENTO GUARDIAS'!J314</f>
        <v>F</v>
      </c>
      <c r="F314" s="34">
        <f>'CUMPLIMIENTO GUARDIAS'!I314</f>
        <v>0</v>
      </c>
      <c r="G314">
        <f>'CUMPLIMIENTO GUARDIAS'!E314</f>
        <v>0</v>
      </c>
      <c r="H314">
        <f>'CUMPLIMIENTO GUARDIAS'!F314</f>
        <v>0</v>
      </c>
      <c r="I314">
        <f>'CUMPLIMIENTO GUARDIAS'!G314</f>
        <v>0</v>
      </c>
      <c r="J314">
        <f>--(C314&lt;=MATCH('DASHBOARD AVANZADO'!$G$3,'DASHBOARD AVANZADO'!$Q$1:$Q$12,0))</f>
        <v>1</v>
      </c>
      <c r="K314">
        <f t="shared" si="4"/>
        <v>0</v>
      </c>
      <c r="L314">
        <v>314</v>
      </c>
    </row>
    <row r="315" spans="1:12" x14ac:dyDescent="0.25">
      <c r="A315" t="s">
        <v>70</v>
      </c>
      <c r="B315" t="s">
        <v>12</v>
      </c>
      <c r="C315">
        <v>7</v>
      </c>
      <c r="D315" t="s">
        <v>51</v>
      </c>
      <c r="E315" t="str">
        <f>'CUMPLIMIENTO GUARDIAS'!J315</f>
        <v>EP</v>
      </c>
      <c r="F315" s="34">
        <f>'CUMPLIMIENTO GUARDIAS'!I315</f>
        <v>0</v>
      </c>
      <c r="G315" t="str">
        <f>'CUMPLIMIENTO GUARDIAS'!E315</f>
        <v>EP</v>
      </c>
      <c r="H315" t="str">
        <f>'CUMPLIMIENTO GUARDIAS'!F315</f>
        <v>EP</v>
      </c>
      <c r="I315" t="str">
        <f>'CUMPLIMIENTO GUARDIAS'!G315</f>
        <v>EP</v>
      </c>
      <c r="J315">
        <f>--(C315&lt;=MATCH('DASHBOARD AVANZADO'!$G$3,'DASHBOARD AVANZADO'!$Q$1:$Q$12,0))</f>
        <v>1</v>
      </c>
      <c r="K315">
        <f t="shared" si="4"/>
        <v>0</v>
      </c>
      <c r="L315">
        <v>315</v>
      </c>
    </row>
    <row r="316" spans="1:12" x14ac:dyDescent="0.25">
      <c r="A316" t="s">
        <v>70</v>
      </c>
      <c r="B316" t="s">
        <v>13</v>
      </c>
      <c r="C316">
        <v>8</v>
      </c>
      <c r="D316" t="s">
        <v>52</v>
      </c>
      <c r="E316">
        <f>'CUMPLIMIENTO GUARDIAS'!J316</f>
        <v>0</v>
      </c>
      <c r="F316" s="34">
        <f>'CUMPLIMIENTO GUARDIAS'!I316</f>
        <v>0</v>
      </c>
      <c r="G316">
        <f>'CUMPLIMIENTO GUARDIAS'!E316</f>
        <v>0</v>
      </c>
      <c r="H316">
        <f>'CUMPLIMIENTO GUARDIAS'!F316</f>
        <v>0</v>
      </c>
      <c r="I316">
        <f>'CUMPLIMIENTO GUARDIAS'!G316</f>
        <v>0</v>
      </c>
      <c r="J316">
        <f>--(C316&lt;=MATCH('DASHBOARD AVANZADO'!$G$3,'DASHBOARD AVANZADO'!$Q$1:$Q$12,0))</f>
        <v>0</v>
      </c>
      <c r="K316">
        <f t="shared" si="4"/>
        <v>0</v>
      </c>
      <c r="L316">
        <v>316</v>
      </c>
    </row>
    <row r="317" spans="1:12" x14ac:dyDescent="0.25">
      <c r="A317" t="s">
        <v>70</v>
      </c>
      <c r="B317" t="s">
        <v>13</v>
      </c>
      <c r="C317">
        <v>8</v>
      </c>
      <c r="D317" t="s">
        <v>53</v>
      </c>
      <c r="E317">
        <f>'CUMPLIMIENTO GUARDIAS'!J317</f>
        <v>0</v>
      </c>
      <c r="F317" s="34">
        <f>'CUMPLIMIENTO GUARDIAS'!I317</f>
        <v>0</v>
      </c>
      <c r="G317">
        <f>'CUMPLIMIENTO GUARDIAS'!E317</f>
        <v>0</v>
      </c>
      <c r="H317">
        <f>'CUMPLIMIENTO GUARDIAS'!F317</f>
        <v>0</v>
      </c>
      <c r="I317">
        <f>'CUMPLIMIENTO GUARDIAS'!G317</f>
        <v>0</v>
      </c>
      <c r="J317">
        <f>--(C317&lt;=MATCH('DASHBOARD AVANZADO'!$G$3,'DASHBOARD AVANZADO'!$Q$1:$Q$12,0))</f>
        <v>0</v>
      </c>
      <c r="K317">
        <f t="shared" si="4"/>
        <v>0</v>
      </c>
      <c r="L317">
        <v>317</v>
      </c>
    </row>
    <row r="318" spans="1:12" x14ac:dyDescent="0.25">
      <c r="A318" t="s">
        <v>70</v>
      </c>
      <c r="B318" t="s">
        <v>13</v>
      </c>
      <c r="C318">
        <v>8</v>
      </c>
      <c r="D318" t="s">
        <v>54</v>
      </c>
      <c r="E318">
        <f>'CUMPLIMIENTO GUARDIAS'!J318</f>
        <v>0</v>
      </c>
      <c r="F318" s="34">
        <f>'CUMPLIMIENTO GUARDIAS'!I318</f>
        <v>0</v>
      </c>
      <c r="G318">
        <f>'CUMPLIMIENTO GUARDIAS'!E318</f>
        <v>0</v>
      </c>
      <c r="H318">
        <f>'CUMPLIMIENTO GUARDIAS'!F318</f>
        <v>0</v>
      </c>
      <c r="I318">
        <f>'CUMPLIMIENTO GUARDIAS'!G318</f>
        <v>0</v>
      </c>
      <c r="J318">
        <f>--(C318&lt;=MATCH('DASHBOARD AVANZADO'!$G$3,'DASHBOARD AVANZADO'!$Q$1:$Q$12,0))</f>
        <v>0</v>
      </c>
      <c r="K318">
        <f t="shared" si="4"/>
        <v>0</v>
      </c>
      <c r="L318">
        <v>318</v>
      </c>
    </row>
    <row r="319" spans="1:12" x14ac:dyDescent="0.25">
      <c r="A319" t="s">
        <v>70</v>
      </c>
      <c r="B319" t="s">
        <v>14</v>
      </c>
      <c r="C319">
        <v>9</v>
      </c>
      <c r="D319" t="s">
        <v>55</v>
      </c>
      <c r="E319">
        <f>'CUMPLIMIENTO GUARDIAS'!J319</f>
        <v>0</v>
      </c>
      <c r="F319" s="34">
        <f>'CUMPLIMIENTO GUARDIAS'!I319</f>
        <v>0</v>
      </c>
      <c r="G319">
        <f>'CUMPLIMIENTO GUARDIAS'!E319</f>
        <v>0</v>
      </c>
      <c r="H319">
        <f>'CUMPLIMIENTO GUARDIAS'!F319</f>
        <v>0</v>
      </c>
      <c r="I319">
        <f>'CUMPLIMIENTO GUARDIAS'!G319</f>
        <v>0</v>
      </c>
      <c r="J319">
        <f>--(C319&lt;=MATCH('DASHBOARD AVANZADO'!$G$3,'DASHBOARD AVANZADO'!$Q$1:$Q$12,0))</f>
        <v>0</v>
      </c>
      <c r="K319">
        <f t="shared" si="4"/>
        <v>0</v>
      </c>
      <c r="L319">
        <v>319</v>
      </c>
    </row>
    <row r="320" spans="1:12" x14ac:dyDescent="0.25">
      <c r="A320" t="s">
        <v>70</v>
      </c>
      <c r="B320" t="s">
        <v>14</v>
      </c>
      <c r="C320">
        <v>9</v>
      </c>
      <c r="D320" t="s">
        <v>56</v>
      </c>
      <c r="E320">
        <f>'CUMPLIMIENTO GUARDIAS'!J320</f>
        <v>0</v>
      </c>
      <c r="F320" s="34">
        <f>'CUMPLIMIENTO GUARDIAS'!I320</f>
        <v>0</v>
      </c>
      <c r="G320">
        <f>'CUMPLIMIENTO GUARDIAS'!E320</f>
        <v>0</v>
      </c>
      <c r="H320">
        <f>'CUMPLIMIENTO GUARDIAS'!F320</f>
        <v>0</v>
      </c>
      <c r="I320">
        <f>'CUMPLIMIENTO GUARDIAS'!G320</f>
        <v>0</v>
      </c>
      <c r="J320">
        <f>--(C320&lt;=MATCH('DASHBOARD AVANZADO'!$G$3,'DASHBOARD AVANZADO'!$Q$1:$Q$12,0))</f>
        <v>0</v>
      </c>
      <c r="K320">
        <f t="shared" si="4"/>
        <v>0</v>
      </c>
      <c r="L320">
        <v>320</v>
      </c>
    </row>
    <row r="321" spans="1:12" x14ac:dyDescent="0.25">
      <c r="A321" t="s">
        <v>70</v>
      </c>
      <c r="B321" t="s">
        <v>15</v>
      </c>
      <c r="C321">
        <v>10</v>
      </c>
      <c r="D321" t="s">
        <v>20</v>
      </c>
      <c r="E321">
        <f>'CUMPLIMIENTO GUARDIAS'!J321</f>
        <v>0</v>
      </c>
      <c r="F321" s="34">
        <f>'CUMPLIMIENTO GUARDIAS'!I321</f>
        <v>0</v>
      </c>
      <c r="G321">
        <f>'CUMPLIMIENTO GUARDIAS'!E321</f>
        <v>0</v>
      </c>
      <c r="H321">
        <f>'CUMPLIMIENTO GUARDIAS'!F321</f>
        <v>0</v>
      </c>
      <c r="I321">
        <f>'CUMPLIMIENTO GUARDIAS'!G321</f>
        <v>0</v>
      </c>
      <c r="J321">
        <f>--(C321&lt;=MATCH('DASHBOARD AVANZADO'!$G$3,'DASHBOARD AVANZADO'!$Q$1:$Q$12,0))</f>
        <v>0</v>
      </c>
      <c r="K321">
        <f t="shared" si="4"/>
        <v>0</v>
      </c>
      <c r="L321">
        <v>321</v>
      </c>
    </row>
    <row r="322" spans="1:12" x14ac:dyDescent="0.25">
      <c r="A322" t="s">
        <v>70</v>
      </c>
      <c r="B322" t="s">
        <v>15</v>
      </c>
      <c r="C322">
        <v>10</v>
      </c>
      <c r="D322" t="s">
        <v>42</v>
      </c>
      <c r="E322">
        <f>'CUMPLIMIENTO GUARDIAS'!J322</f>
        <v>0</v>
      </c>
      <c r="F322" s="34">
        <f>'CUMPLIMIENTO GUARDIAS'!I322</f>
        <v>0</v>
      </c>
      <c r="G322">
        <f>'CUMPLIMIENTO GUARDIAS'!E322</f>
        <v>0</v>
      </c>
      <c r="H322">
        <f>'CUMPLIMIENTO GUARDIAS'!F322</f>
        <v>0</v>
      </c>
      <c r="I322">
        <f>'CUMPLIMIENTO GUARDIAS'!G322</f>
        <v>0</v>
      </c>
      <c r="J322">
        <f>--(C322&lt;=MATCH('DASHBOARD AVANZADO'!$G$3,'DASHBOARD AVANZADO'!$Q$1:$Q$12,0))</f>
        <v>0</v>
      </c>
      <c r="K322">
        <f t="shared" ref="K322:K385" si="5">IF(E322="C",1,0)</f>
        <v>0</v>
      </c>
      <c r="L322">
        <v>322</v>
      </c>
    </row>
    <row r="323" spans="1:12" x14ac:dyDescent="0.25">
      <c r="A323" t="s">
        <v>70</v>
      </c>
      <c r="B323" t="s">
        <v>16</v>
      </c>
      <c r="C323">
        <v>11</v>
      </c>
      <c r="D323" t="s">
        <v>57</v>
      </c>
      <c r="E323">
        <f>'CUMPLIMIENTO GUARDIAS'!J323</f>
        <v>0</v>
      </c>
      <c r="F323" s="34">
        <f>'CUMPLIMIENTO GUARDIAS'!I323</f>
        <v>0</v>
      </c>
      <c r="G323">
        <f>'CUMPLIMIENTO GUARDIAS'!E323</f>
        <v>0</v>
      </c>
      <c r="H323">
        <f>'CUMPLIMIENTO GUARDIAS'!F323</f>
        <v>0</v>
      </c>
      <c r="I323">
        <f>'CUMPLIMIENTO GUARDIAS'!G323</f>
        <v>0</v>
      </c>
      <c r="J323">
        <f>--(C323&lt;=MATCH('DASHBOARD AVANZADO'!$G$3,'DASHBOARD AVANZADO'!$Q$1:$Q$12,0))</f>
        <v>0</v>
      </c>
      <c r="K323">
        <f t="shared" si="5"/>
        <v>0</v>
      </c>
      <c r="L323">
        <v>323</v>
      </c>
    </row>
    <row r="324" spans="1:12" x14ac:dyDescent="0.25">
      <c r="A324" t="s">
        <v>70</v>
      </c>
      <c r="B324" t="s">
        <v>16</v>
      </c>
      <c r="C324">
        <v>11</v>
      </c>
      <c r="D324" t="s">
        <v>39</v>
      </c>
      <c r="E324">
        <f>'CUMPLIMIENTO GUARDIAS'!J324</f>
        <v>0</v>
      </c>
      <c r="F324" s="34">
        <f>'CUMPLIMIENTO GUARDIAS'!I324</f>
        <v>0</v>
      </c>
      <c r="G324">
        <f>'CUMPLIMIENTO GUARDIAS'!E324</f>
        <v>0</v>
      </c>
      <c r="H324">
        <f>'CUMPLIMIENTO GUARDIAS'!F324</f>
        <v>0</v>
      </c>
      <c r="I324">
        <f>'CUMPLIMIENTO GUARDIAS'!G324</f>
        <v>0</v>
      </c>
      <c r="J324">
        <f>--(C324&lt;=MATCH('DASHBOARD AVANZADO'!$G$3,'DASHBOARD AVANZADO'!$Q$1:$Q$12,0))</f>
        <v>0</v>
      </c>
      <c r="K324">
        <f t="shared" si="5"/>
        <v>0</v>
      </c>
      <c r="L324">
        <v>324</v>
      </c>
    </row>
    <row r="325" spans="1:12" x14ac:dyDescent="0.25">
      <c r="A325" t="s">
        <v>70</v>
      </c>
      <c r="B325" t="s">
        <v>17</v>
      </c>
      <c r="C325">
        <v>12</v>
      </c>
      <c r="D325" t="s">
        <v>38</v>
      </c>
      <c r="E325">
        <f>'CUMPLIMIENTO GUARDIAS'!J325</f>
        <v>0</v>
      </c>
      <c r="F325" s="34">
        <f>'CUMPLIMIENTO GUARDIAS'!I325</f>
        <v>0</v>
      </c>
      <c r="G325">
        <f>'CUMPLIMIENTO GUARDIAS'!E325</f>
        <v>0</v>
      </c>
      <c r="H325">
        <f>'CUMPLIMIENTO GUARDIAS'!F325</f>
        <v>0</v>
      </c>
      <c r="I325">
        <f>'CUMPLIMIENTO GUARDIAS'!G325</f>
        <v>0</v>
      </c>
      <c r="J325">
        <f>--(C325&lt;=MATCH('DASHBOARD AVANZADO'!$G$3,'DASHBOARD AVANZADO'!$Q$1:$Q$12,0))</f>
        <v>0</v>
      </c>
      <c r="K325">
        <f t="shared" si="5"/>
        <v>0</v>
      </c>
      <c r="L325">
        <v>325</v>
      </c>
    </row>
    <row r="326" spans="1:12" x14ac:dyDescent="0.25">
      <c r="A326" t="s">
        <v>71</v>
      </c>
      <c r="B326" t="s">
        <v>6</v>
      </c>
      <c r="C326">
        <v>1</v>
      </c>
      <c r="D326" t="s">
        <v>38</v>
      </c>
      <c r="E326" t="str">
        <f>'CUMPLIMIENTO GUARDIAS'!J326</f>
        <v>C</v>
      </c>
      <c r="F326" s="34">
        <f>'CUMPLIMIENTO GUARDIAS'!I326</f>
        <v>1</v>
      </c>
      <c r="G326" t="str">
        <f>'CUMPLIMIENTO GUARDIAS'!E326</f>
        <v>C</v>
      </c>
      <c r="H326" t="str">
        <f>'CUMPLIMIENTO GUARDIAS'!F326</f>
        <v>C</v>
      </c>
      <c r="I326" t="str">
        <f>'CUMPLIMIENTO GUARDIAS'!G326</f>
        <v>C</v>
      </c>
      <c r="J326">
        <f>--(C326&lt;=MATCH('DASHBOARD AVANZADO'!$G$3,'DASHBOARD AVANZADO'!$Q$1:$Q$12,0))</f>
        <v>1</v>
      </c>
      <c r="K326">
        <f t="shared" si="5"/>
        <v>1</v>
      </c>
      <c r="L326">
        <v>326</v>
      </c>
    </row>
    <row r="327" spans="1:12" x14ac:dyDescent="0.25">
      <c r="A327" t="s">
        <v>71</v>
      </c>
      <c r="B327" t="s">
        <v>6</v>
      </c>
      <c r="C327">
        <v>1</v>
      </c>
      <c r="D327" t="s">
        <v>39</v>
      </c>
      <c r="E327" t="str">
        <f>'CUMPLIMIENTO GUARDIAS'!J327</f>
        <v>C</v>
      </c>
      <c r="F327" s="34">
        <f>'CUMPLIMIENTO GUARDIAS'!I327</f>
        <v>1</v>
      </c>
      <c r="G327" t="str">
        <f>'CUMPLIMIENTO GUARDIAS'!E327</f>
        <v>C</v>
      </c>
      <c r="H327" t="str">
        <f>'CUMPLIMIENTO GUARDIAS'!F327</f>
        <v>C</v>
      </c>
      <c r="I327" t="str">
        <f>'CUMPLIMIENTO GUARDIAS'!G327</f>
        <v>C</v>
      </c>
      <c r="J327">
        <f>--(C327&lt;=MATCH('DASHBOARD AVANZADO'!$G$3,'DASHBOARD AVANZADO'!$Q$1:$Q$12,0))</f>
        <v>1</v>
      </c>
      <c r="K327">
        <f t="shared" si="5"/>
        <v>1</v>
      </c>
      <c r="L327">
        <v>327</v>
      </c>
    </row>
    <row r="328" spans="1:12" x14ac:dyDescent="0.25">
      <c r="A328" t="s">
        <v>71</v>
      </c>
      <c r="B328" t="s">
        <v>7</v>
      </c>
      <c r="C328">
        <v>2</v>
      </c>
      <c r="D328" t="s">
        <v>40</v>
      </c>
      <c r="E328" t="str">
        <f>'CUMPLIMIENTO GUARDIAS'!J328</f>
        <v>C</v>
      </c>
      <c r="F328" s="34">
        <f>'CUMPLIMIENTO GUARDIAS'!I328</f>
        <v>1</v>
      </c>
      <c r="G328" t="str">
        <f>'CUMPLIMIENTO GUARDIAS'!E328</f>
        <v>C</v>
      </c>
      <c r="H328" t="str">
        <f>'CUMPLIMIENTO GUARDIAS'!F328</f>
        <v>C</v>
      </c>
      <c r="I328" t="str">
        <f>'CUMPLIMIENTO GUARDIAS'!G328</f>
        <v>C</v>
      </c>
      <c r="J328">
        <f>--(C328&lt;=MATCH('DASHBOARD AVANZADO'!$G$3,'DASHBOARD AVANZADO'!$Q$1:$Q$12,0))</f>
        <v>1</v>
      </c>
      <c r="K328">
        <f t="shared" si="5"/>
        <v>1</v>
      </c>
      <c r="L328">
        <v>328</v>
      </c>
    </row>
    <row r="329" spans="1:12" x14ac:dyDescent="0.25">
      <c r="A329" t="s">
        <v>71</v>
      </c>
      <c r="B329" t="s">
        <v>7</v>
      </c>
      <c r="C329">
        <v>2</v>
      </c>
      <c r="D329" t="s">
        <v>20</v>
      </c>
      <c r="E329" t="str">
        <f>'CUMPLIMIENTO GUARDIAS'!J329</f>
        <v>C</v>
      </c>
      <c r="F329" s="34">
        <f>'CUMPLIMIENTO GUARDIAS'!I329</f>
        <v>1</v>
      </c>
      <c r="G329" t="str">
        <f>'CUMPLIMIENTO GUARDIAS'!E329</f>
        <v>C</v>
      </c>
      <c r="H329" t="str">
        <f>'CUMPLIMIENTO GUARDIAS'!F329</f>
        <v>C</v>
      </c>
      <c r="I329" t="str">
        <f>'CUMPLIMIENTO GUARDIAS'!G329</f>
        <v>C</v>
      </c>
      <c r="J329">
        <f>--(C329&lt;=MATCH('DASHBOARD AVANZADO'!$G$3,'DASHBOARD AVANZADO'!$Q$1:$Q$12,0))</f>
        <v>1</v>
      </c>
      <c r="K329">
        <f t="shared" si="5"/>
        <v>1</v>
      </c>
      <c r="L329">
        <v>329</v>
      </c>
    </row>
    <row r="330" spans="1:12" x14ac:dyDescent="0.25">
      <c r="A330" t="s">
        <v>71</v>
      </c>
      <c r="B330" t="s">
        <v>8</v>
      </c>
      <c r="C330">
        <v>3</v>
      </c>
      <c r="D330" t="s">
        <v>41</v>
      </c>
      <c r="E330" t="str">
        <f>'CUMPLIMIENTO GUARDIAS'!J330</f>
        <v>C</v>
      </c>
      <c r="F330" s="34">
        <f>'CUMPLIMIENTO GUARDIAS'!I330</f>
        <v>1</v>
      </c>
      <c r="G330" t="str">
        <f>'CUMPLIMIENTO GUARDIAS'!E330</f>
        <v>C</v>
      </c>
      <c r="H330" t="str">
        <f>'CUMPLIMIENTO GUARDIAS'!F330</f>
        <v>C</v>
      </c>
      <c r="I330" t="str">
        <f>'CUMPLIMIENTO GUARDIAS'!G330</f>
        <v>C</v>
      </c>
      <c r="J330">
        <f>--(C330&lt;=MATCH('DASHBOARD AVANZADO'!$G$3,'DASHBOARD AVANZADO'!$Q$1:$Q$12,0))</f>
        <v>1</v>
      </c>
      <c r="K330">
        <f t="shared" si="5"/>
        <v>1</v>
      </c>
      <c r="L330">
        <v>330</v>
      </c>
    </row>
    <row r="331" spans="1:12" x14ac:dyDescent="0.25">
      <c r="A331" t="s">
        <v>71</v>
      </c>
      <c r="B331" t="s">
        <v>8</v>
      </c>
      <c r="C331">
        <v>3</v>
      </c>
      <c r="D331" t="s">
        <v>42</v>
      </c>
      <c r="E331" t="str">
        <f>'CUMPLIMIENTO GUARDIAS'!J331</f>
        <v>C</v>
      </c>
      <c r="F331" s="34">
        <f>'CUMPLIMIENTO GUARDIAS'!I331</f>
        <v>1</v>
      </c>
      <c r="G331" t="str">
        <f>'CUMPLIMIENTO GUARDIAS'!E331</f>
        <v>C</v>
      </c>
      <c r="H331" t="str">
        <f>'CUMPLIMIENTO GUARDIAS'!F331</f>
        <v>C</v>
      </c>
      <c r="I331" t="str">
        <f>'CUMPLIMIENTO GUARDIAS'!G331</f>
        <v>C</v>
      </c>
      <c r="J331">
        <f>--(C331&lt;=MATCH('DASHBOARD AVANZADO'!$G$3,'DASHBOARD AVANZADO'!$Q$1:$Q$12,0))</f>
        <v>1</v>
      </c>
      <c r="K331">
        <f t="shared" si="5"/>
        <v>1</v>
      </c>
      <c r="L331">
        <v>331</v>
      </c>
    </row>
    <row r="332" spans="1:12" x14ac:dyDescent="0.25">
      <c r="A332" t="s">
        <v>71</v>
      </c>
      <c r="B332" t="s">
        <v>9</v>
      </c>
      <c r="C332">
        <v>4</v>
      </c>
      <c r="D332" t="s">
        <v>43</v>
      </c>
      <c r="E332" t="str">
        <f>'CUMPLIMIENTO GUARDIAS'!J332</f>
        <v>C</v>
      </c>
      <c r="F332" s="34">
        <f>'CUMPLIMIENTO GUARDIAS'!I332</f>
        <v>1</v>
      </c>
      <c r="G332" t="str">
        <f>'CUMPLIMIENTO GUARDIAS'!E332</f>
        <v>C</v>
      </c>
      <c r="H332" t="str">
        <f>'CUMPLIMIENTO GUARDIAS'!F332</f>
        <v>C</v>
      </c>
      <c r="I332" t="str">
        <f>'CUMPLIMIENTO GUARDIAS'!G332</f>
        <v>C</v>
      </c>
      <c r="J332">
        <f>--(C332&lt;=MATCH('DASHBOARD AVANZADO'!$G$3,'DASHBOARD AVANZADO'!$Q$1:$Q$12,0))</f>
        <v>1</v>
      </c>
      <c r="K332">
        <f t="shared" si="5"/>
        <v>1</v>
      </c>
      <c r="L332">
        <v>332</v>
      </c>
    </row>
    <row r="333" spans="1:12" x14ac:dyDescent="0.25">
      <c r="A333" t="s">
        <v>71</v>
      </c>
      <c r="B333" t="s">
        <v>9</v>
      </c>
      <c r="C333">
        <v>4</v>
      </c>
      <c r="D333" t="s">
        <v>44</v>
      </c>
      <c r="E333" t="str">
        <f>'CUMPLIMIENTO GUARDIAS'!J333</f>
        <v>C</v>
      </c>
      <c r="F333" s="34">
        <f>'CUMPLIMIENTO GUARDIAS'!I333</f>
        <v>1</v>
      </c>
      <c r="G333" t="str">
        <f>'CUMPLIMIENTO GUARDIAS'!E333</f>
        <v>C</v>
      </c>
      <c r="H333" t="str">
        <f>'CUMPLIMIENTO GUARDIAS'!F333</f>
        <v>C</v>
      </c>
      <c r="I333" t="str">
        <f>'CUMPLIMIENTO GUARDIAS'!G333</f>
        <v>C</v>
      </c>
      <c r="J333">
        <f>--(C333&lt;=MATCH('DASHBOARD AVANZADO'!$G$3,'DASHBOARD AVANZADO'!$Q$1:$Q$12,0))</f>
        <v>1</v>
      </c>
      <c r="K333">
        <f t="shared" si="5"/>
        <v>1</v>
      </c>
      <c r="L333">
        <v>333</v>
      </c>
    </row>
    <row r="334" spans="1:12" x14ac:dyDescent="0.25">
      <c r="A334" t="s">
        <v>71</v>
      </c>
      <c r="B334" t="s">
        <v>9</v>
      </c>
      <c r="C334">
        <v>4</v>
      </c>
      <c r="D334" t="s">
        <v>45</v>
      </c>
      <c r="E334" t="str">
        <f>'CUMPLIMIENTO GUARDIAS'!J334</f>
        <v>C</v>
      </c>
      <c r="F334" s="34">
        <f>'CUMPLIMIENTO GUARDIAS'!I334</f>
        <v>1</v>
      </c>
      <c r="G334" t="str">
        <f>'CUMPLIMIENTO GUARDIAS'!E334</f>
        <v>C</v>
      </c>
      <c r="H334" t="str">
        <f>'CUMPLIMIENTO GUARDIAS'!F334</f>
        <v>C</v>
      </c>
      <c r="I334" t="str">
        <f>'CUMPLIMIENTO GUARDIAS'!G334</f>
        <v>C</v>
      </c>
      <c r="J334">
        <f>--(C334&lt;=MATCH('DASHBOARD AVANZADO'!$G$3,'DASHBOARD AVANZADO'!$Q$1:$Q$12,0))</f>
        <v>1</v>
      </c>
      <c r="K334">
        <f t="shared" si="5"/>
        <v>1</v>
      </c>
      <c r="L334">
        <v>334</v>
      </c>
    </row>
    <row r="335" spans="1:12" x14ac:dyDescent="0.25">
      <c r="A335" t="s">
        <v>71</v>
      </c>
      <c r="B335" t="s">
        <v>10</v>
      </c>
      <c r="C335">
        <v>5</v>
      </c>
      <c r="D335" t="s">
        <v>46</v>
      </c>
      <c r="E335" t="str">
        <f>'CUMPLIMIENTO GUARDIAS'!J335</f>
        <v>C</v>
      </c>
      <c r="F335" s="34">
        <f>'CUMPLIMIENTO GUARDIAS'!I335</f>
        <v>1</v>
      </c>
      <c r="G335" t="str">
        <f>'CUMPLIMIENTO GUARDIAS'!E335</f>
        <v>C</v>
      </c>
      <c r="H335" t="str">
        <f>'CUMPLIMIENTO GUARDIAS'!F335</f>
        <v>C</v>
      </c>
      <c r="I335" t="str">
        <f>'CUMPLIMIENTO GUARDIAS'!G335</f>
        <v>C</v>
      </c>
      <c r="J335">
        <f>--(C335&lt;=MATCH('DASHBOARD AVANZADO'!$G$3,'DASHBOARD AVANZADO'!$Q$1:$Q$12,0))</f>
        <v>1</v>
      </c>
      <c r="K335">
        <f t="shared" si="5"/>
        <v>1</v>
      </c>
      <c r="L335">
        <v>335</v>
      </c>
    </row>
    <row r="336" spans="1:12" x14ac:dyDescent="0.25">
      <c r="A336" t="s">
        <v>71</v>
      </c>
      <c r="B336" t="s">
        <v>10</v>
      </c>
      <c r="C336">
        <v>5</v>
      </c>
      <c r="D336" t="s">
        <v>47</v>
      </c>
      <c r="E336" t="str">
        <f>'CUMPLIMIENTO GUARDIAS'!J336</f>
        <v>C</v>
      </c>
      <c r="F336" s="34">
        <f>'CUMPLIMIENTO GUARDIAS'!I336</f>
        <v>1</v>
      </c>
      <c r="G336" t="str">
        <f>'CUMPLIMIENTO GUARDIAS'!E336</f>
        <v>C</v>
      </c>
      <c r="H336" t="str">
        <f>'CUMPLIMIENTO GUARDIAS'!F336</f>
        <v>C</v>
      </c>
      <c r="I336" t="str">
        <f>'CUMPLIMIENTO GUARDIAS'!G336</f>
        <v>C</v>
      </c>
      <c r="J336">
        <f>--(C336&lt;=MATCH('DASHBOARD AVANZADO'!$G$3,'DASHBOARD AVANZADO'!$Q$1:$Q$12,0))</f>
        <v>1</v>
      </c>
      <c r="K336">
        <f t="shared" si="5"/>
        <v>1</v>
      </c>
      <c r="L336">
        <v>336</v>
      </c>
    </row>
    <row r="337" spans="1:12" x14ac:dyDescent="0.25">
      <c r="A337" t="s">
        <v>71</v>
      </c>
      <c r="B337" t="s">
        <v>11</v>
      </c>
      <c r="C337">
        <v>6</v>
      </c>
      <c r="D337" t="s">
        <v>20</v>
      </c>
      <c r="E337" t="str">
        <f>'CUMPLIMIENTO GUARDIAS'!J337</f>
        <v>C</v>
      </c>
      <c r="F337" s="34">
        <f>'CUMPLIMIENTO GUARDIAS'!I337</f>
        <v>1</v>
      </c>
      <c r="G337" t="str">
        <f>'CUMPLIMIENTO GUARDIAS'!E337</f>
        <v>C</v>
      </c>
      <c r="H337" t="str">
        <f>'CUMPLIMIENTO GUARDIAS'!F337</f>
        <v>C</v>
      </c>
      <c r="I337" t="str">
        <f>'CUMPLIMIENTO GUARDIAS'!G337</f>
        <v>C</v>
      </c>
      <c r="J337">
        <f>--(C337&lt;=MATCH('DASHBOARD AVANZADO'!$G$3,'DASHBOARD AVANZADO'!$Q$1:$Q$12,0))</f>
        <v>1</v>
      </c>
      <c r="K337">
        <f t="shared" si="5"/>
        <v>1</v>
      </c>
      <c r="L337">
        <v>337</v>
      </c>
    </row>
    <row r="338" spans="1:12" x14ac:dyDescent="0.25">
      <c r="A338" t="s">
        <v>71</v>
      </c>
      <c r="B338" t="s">
        <v>11</v>
      </c>
      <c r="C338">
        <v>6</v>
      </c>
      <c r="D338" t="s">
        <v>48</v>
      </c>
      <c r="E338" t="str">
        <f>'CUMPLIMIENTO GUARDIAS'!J338</f>
        <v>C</v>
      </c>
      <c r="F338" s="34">
        <f>'CUMPLIMIENTO GUARDIAS'!I338</f>
        <v>1</v>
      </c>
      <c r="G338" t="str">
        <f>'CUMPLIMIENTO GUARDIAS'!E338</f>
        <v>C</v>
      </c>
      <c r="H338" t="str">
        <f>'CUMPLIMIENTO GUARDIAS'!F338</f>
        <v>C</v>
      </c>
      <c r="I338" t="str">
        <f>'CUMPLIMIENTO GUARDIAS'!G338</f>
        <v>C</v>
      </c>
      <c r="J338">
        <f>--(C338&lt;=MATCH('DASHBOARD AVANZADO'!$G$3,'DASHBOARD AVANZADO'!$Q$1:$Q$12,0))</f>
        <v>1</v>
      </c>
      <c r="K338">
        <f t="shared" si="5"/>
        <v>1</v>
      </c>
      <c r="L338">
        <v>338</v>
      </c>
    </row>
    <row r="339" spans="1:12" x14ac:dyDescent="0.25">
      <c r="A339" t="s">
        <v>71</v>
      </c>
      <c r="B339" t="s">
        <v>11</v>
      </c>
      <c r="C339">
        <v>6</v>
      </c>
      <c r="D339" t="s">
        <v>49</v>
      </c>
      <c r="E339" t="str">
        <f>'CUMPLIMIENTO GUARDIAS'!J339</f>
        <v>F</v>
      </c>
      <c r="F339" s="34">
        <f>'CUMPLIMIENTO GUARDIAS'!I339</f>
        <v>0</v>
      </c>
      <c r="G339" t="str">
        <f>'CUMPLIMIENTO GUARDIAS'!E339</f>
        <v>F</v>
      </c>
      <c r="H339" t="str">
        <f>'CUMPLIMIENTO GUARDIAS'!F339</f>
        <v>F</v>
      </c>
      <c r="I339" t="str">
        <f>'CUMPLIMIENTO GUARDIAS'!G339</f>
        <v>F</v>
      </c>
      <c r="J339">
        <f>--(C339&lt;=MATCH('DASHBOARD AVANZADO'!$G$3,'DASHBOARD AVANZADO'!$Q$1:$Q$12,0))</f>
        <v>1</v>
      </c>
      <c r="K339">
        <f t="shared" si="5"/>
        <v>0</v>
      </c>
      <c r="L339">
        <v>339</v>
      </c>
    </row>
    <row r="340" spans="1:12" x14ac:dyDescent="0.25">
      <c r="A340" t="s">
        <v>71</v>
      </c>
      <c r="B340" t="s">
        <v>12</v>
      </c>
      <c r="C340">
        <v>7</v>
      </c>
      <c r="D340" t="s">
        <v>38</v>
      </c>
      <c r="E340" t="str">
        <f>'CUMPLIMIENTO GUARDIAS'!J340</f>
        <v>C</v>
      </c>
      <c r="F340" s="34">
        <f>'CUMPLIMIENTO GUARDIAS'!I340</f>
        <v>1</v>
      </c>
      <c r="G340" t="str">
        <f>'CUMPLIMIENTO GUARDIAS'!E340</f>
        <v>C</v>
      </c>
      <c r="H340" t="str">
        <f>'CUMPLIMIENTO GUARDIAS'!F340</f>
        <v>C</v>
      </c>
      <c r="I340" t="str">
        <f>'CUMPLIMIENTO GUARDIAS'!G340</f>
        <v>C</v>
      </c>
      <c r="J340">
        <f>--(C340&lt;=MATCH('DASHBOARD AVANZADO'!$G$3,'DASHBOARD AVANZADO'!$Q$1:$Q$12,0))</f>
        <v>1</v>
      </c>
      <c r="K340">
        <f t="shared" si="5"/>
        <v>1</v>
      </c>
      <c r="L340">
        <v>340</v>
      </c>
    </row>
    <row r="341" spans="1:12" x14ac:dyDescent="0.25">
      <c r="A341" t="s">
        <v>71</v>
      </c>
      <c r="B341" t="s">
        <v>12</v>
      </c>
      <c r="C341">
        <v>7</v>
      </c>
      <c r="D341" t="s">
        <v>87</v>
      </c>
      <c r="E341" t="str">
        <f>'CUMPLIMIENTO GUARDIAS'!J341</f>
        <v>F</v>
      </c>
      <c r="F341" s="34">
        <f>'CUMPLIMIENTO GUARDIAS'!I341</f>
        <v>0</v>
      </c>
      <c r="G341">
        <f>'CUMPLIMIENTO GUARDIAS'!E341</f>
        <v>0</v>
      </c>
      <c r="H341">
        <f>'CUMPLIMIENTO GUARDIAS'!F341</f>
        <v>0</v>
      </c>
      <c r="I341">
        <f>'CUMPLIMIENTO GUARDIAS'!G341</f>
        <v>0</v>
      </c>
      <c r="J341">
        <f>--(C341&lt;=MATCH('DASHBOARD AVANZADO'!$G$3,'DASHBOARD AVANZADO'!$Q$1:$Q$12,0))</f>
        <v>1</v>
      </c>
      <c r="K341">
        <f t="shared" si="5"/>
        <v>0</v>
      </c>
      <c r="L341">
        <v>341</v>
      </c>
    </row>
    <row r="342" spans="1:12" x14ac:dyDescent="0.25">
      <c r="A342" t="s">
        <v>71</v>
      </c>
      <c r="B342" t="s">
        <v>12</v>
      </c>
      <c r="C342">
        <v>7</v>
      </c>
      <c r="D342" t="s">
        <v>51</v>
      </c>
      <c r="E342" t="str">
        <f>'CUMPLIMIENTO GUARDIAS'!J342</f>
        <v>EP</v>
      </c>
      <c r="F342" s="34">
        <f>'CUMPLIMIENTO GUARDIAS'!I342</f>
        <v>0</v>
      </c>
      <c r="G342" t="str">
        <f>'CUMPLIMIENTO GUARDIAS'!E342</f>
        <v>EP</v>
      </c>
      <c r="H342" t="str">
        <f>'CUMPLIMIENTO GUARDIAS'!F342</f>
        <v>EP</v>
      </c>
      <c r="I342" t="str">
        <f>'CUMPLIMIENTO GUARDIAS'!G342</f>
        <v>EP</v>
      </c>
      <c r="J342">
        <f>--(C342&lt;=MATCH('DASHBOARD AVANZADO'!$G$3,'DASHBOARD AVANZADO'!$Q$1:$Q$12,0))</f>
        <v>1</v>
      </c>
      <c r="K342">
        <f t="shared" si="5"/>
        <v>0</v>
      </c>
      <c r="L342">
        <v>342</v>
      </c>
    </row>
    <row r="343" spans="1:12" x14ac:dyDescent="0.25">
      <c r="A343" t="s">
        <v>71</v>
      </c>
      <c r="B343" t="s">
        <v>13</v>
      </c>
      <c r="C343">
        <v>8</v>
      </c>
      <c r="D343" t="s">
        <v>52</v>
      </c>
      <c r="E343">
        <f>'CUMPLIMIENTO GUARDIAS'!J343</f>
        <v>0</v>
      </c>
      <c r="F343" s="34">
        <f>'CUMPLIMIENTO GUARDIAS'!I343</f>
        <v>0</v>
      </c>
      <c r="G343">
        <f>'CUMPLIMIENTO GUARDIAS'!E343</f>
        <v>0</v>
      </c>
      <c r="H343">
        <f>'CUMPLIMIENTO GUARDIAS'!F343</f>
        <v>0</v>
      </c>
      <c r="I343">
        <f>'CUMPLIMIENTO GUARDIAS'!G343</f>
        <v>0</v>
      </c>
      <c r="J343">
        <f>--(C343&lt;=MATCH('DASHBOARD AVANZADO'!$G$3,'DASHBOARD AVANZADO'!$Q$1:$Q$12,0))</f>
        <v>0</v>
      </c>
      <c r="K343">
        <f t="shared" si="5"/>
        <v>0</v>
      </c>
      <c r="L343">
        <v>343</v>
      </c>
    </row>
    <row r="344" spans="1:12" x14ac:dyDescent="0.25">
      <c r="A344" t="s">
        <v>71</v>
      </c>
      <c r="B344" t="s">
        <v>13</v>
      </c>
      <c r="C344">
        <v>8</v>
      </c>
      <c r="D344" t="s">
        <v>53</v>
      </c>
      <c r="E344">
        <f>'CUMPLIMIENTO GUARDIAS'!J344</f>
        <v>0</v>
      </c>
      <c r="F344" s="34">
        <f>'CUMPLIMIENTO GUARDIAS'!I344</f>
        <v>0</v>
      </c>
      <c r="G344">
        <f>'CUMPLIMIENTO GUARDIAS'!E344</f>
        <v>0</v>
      </c>
      <c r="H344">
        <f>'CUMPLIMIENTO GUARDIAS'!F344</f>
        <v>0</v>
      </c>
      <c r="I344">
        <f>'CUMPLIMIENTO GUARDIAS'!G344</f>
        <v>0</v>
      </c>
      <c r="J344">
        <f>--(C344&lt;=MATCH('DASHBOARD AVANZADO'!$G$3,'DASHBOARD AVANZADO'!$Q$1:$Q$12,0))</f>
        <v>0</v>
      </c>
      <c r="K344">
        <f t="shared" si="5"/>
        <v>0</v>
      </c>
      <c r="L344">
        <v>344</v>
      </c>
    </row>
    <row r="345" spans="1:12" x14ac:dyDescent="0.25">
      <c r="A345" t="s">
        <v>71</v>
      </c>
      <c r="B345" t="s">
        <v>13</v>
      </c>
      <c r="C345">
        <v>8</v>
      </c>
      <c r="D345" t="s">
        <v>54</v>
      </c>
      <c r="E345">
        <f>'CUMPLIMIENTO GUARDIAS'!J345</f>
        <v>0</v>
      </c>
      <c r="F345" s="34">
        <f>'CUMPLIMIENTO GUARDIAS'!I345</f>
        <v>0</v>
      </c>
      <c r="G345">
        <f>'CUMPLIMIENTO GUARDIAS'!E345</f>
        <v>0</v>
      </c>
      <c r="H345">
        <f>'CUMPLIMIENTO GUARDIAS'!F345</f>
        <v>0</v>
      </c>
      <c r="I345">
        <f>'CUMPLIMIENTO GUARDIAS'!G345</f>
        <v>0</v>
      </c>
      <c r="J345">
        <f>--(C345&lt;=MATCH('DASHBOARD AVANZADO'!$G$3,'DASHBOARD AVANZADO'!$Q$1:$Q$12,0))</f>
        <v>0</v>
      </c>
      <c r="K345">
        <f t="shared" si="5"/>
        <v>0</v>
      </c>
      <c r="L345">
        <v>345</v>
      </c>
    </row>
    <row r="346" spans="1:12" x14ac:dyDescent="0.25">
      <c r="A346" t="s">
        <v>71</v>
      </c>
      <c r="B346" t="s">
        <v>14</v>
      </c>
      <c r="C346">
        <v>9</v>
      </c>
      <c r="D346" t="s">
        <v>55</v>
      </c>
      <c r="E346">
        <f>'CUMPLIMIENTO GUARDIAS'!J346</f>
        <v>0</v>
      </c>
      <c r="F346" s="34">
        <f>'CUMPLIMIENTO GUARDIAS'!I346</f>
        <v>0</v>
      </c>
      <c r="G346">
        <f>'CUMPLIMIENTO GUARDIAS'!E346</f>
        <v>0</v>
      </c>
      <c r="H346">
        <f>'CUMPLIMIENTO GUARDIAS'!F346</f>
        <v>0</v>
      </c>
      <c r="I346">
        <f>'CUMPLIMIENTO GUARDIAS'!G346</f>
        <v>0</v>
      </c>
      <c r="J346">
        <f>--(C346&lt;=MATCH('DASHBOARD AVANZADO'!$G$3,'DASHBOARD AVANZADO'!$Q$1:$Q$12,0))</f>
        <v>0</v>
      </c>
      <c r="K346">
        <f t="shared" si="5"/>
        <v>0</v>
      </c>
      <c r="L346">
        <v>346</v>
      </c>
    </row>
    <row r="347" spans="1:12" x14ac:dyDescent="0.25">
      <c r="A347" t="s">
        <v>71</v>
      </c>
      <c r="B347" t="s">
        <v>14</v>
      </c>
      <c r="C347">
        <v>9</v>
      </c>
      <c r="D347" t="s">
        <v>56</v>
      </c>
      <c r="E347">
        <f>'CUMPLIMIENTO GUARDIAS'!J347</f>
        <v>0</v>
      </c>
      <c r="F347" s="34">
        <f>'CUMPLIMIENTO GUARDIAS'!I347</f>
        <v>0</v>
      </c>
      <c r="G347">
        <f>'CUMPLIMIENTO GUARDIAS'!E347</f>
        <v>0</v>
      </c>
      <c r="H347">
        <f>'CUMPLIMIENTO GUARDIAS'!F347</f>
        <v>0</v>
      </c>
      <c r="I347">
        <f>'CUMPLIMIENTO GUARDIAS'!G347</f>
        <v>0</v>
      </c>
      <c r="J347">
        <f>--(C347&lt;=MATCH('DASHBOARD AVANZADO'!$G$3,'DASHBOARD AVANZADO'!$Q$1:$Q$12,0))</f>
        <v>0</v>
      </c>
      <c r="K347">
        <f t="shared" si="5"/>
        <v>0</v>
      </c>
      <c r="L347">
        <v>347</v>
      </c>
    </row>
    <row r="348" spans="1:12" x14ac:dyDescent="0.25">
      <c r="A348" t="s">
        <v>71</v>
      </c>
      <c r="B348" t="s">
        <v>15</v>
      </c>
      <c r="C348">
        <v>10</v>
      </c>
      <c r="D348" t="s">
        <v>20</v>
      </c>
      <c r="E348">
        <f>'CUMPLIMIENTO GUARDIAS'!J348</f>
        <v>0</v>
      </c>
      <c r="F348" s="34">
        <f>'CUMPLIMIENTO GUARDIAS'!I348</f>
        <v>0</v>
      </c>
      <c r="G348">
        <f>'CUMPLIMIENTO GUARDIAS'!E348</f>
        <v>0</v>
      </c>
      <c r="H348">
        <f>'CUMPLIMIENTO GUARDIAS'!F348</f>
        <v>0</v>
      </c>
      <c r="I348">
        <f>'CUMPLIMIENTO GUARDIAS'!G348</f>
        <v>0</v>
      </c>
      <c r="J348">
        <f>--(C348&lt;=MATCH('DASHBOARD AVANZADO'!$G$3,'DASHBOARD AVANZADO'!$Q$1:$Q$12,0))</f>
        <v>0</v>
      </c>
      <c r="K348">
        <f t="shared" si="5"/>
        <v>0</v>
      </c>
      <c r="L348">
        <v>348</v>
      </c>
    </row>
    <row r="349" spans="1:12" x14ac:dyDescent="0.25">
      <c r="A349" t="s">
        <v>71</v>
      </c>
      <c r="B349" t="s">
        <v>15</v>
      </c>
      <c r="C349">
        <v>10</v>
      </c>
      <c r="D349" t="s">
        <v>42</v>
      </c>
      <c r="E349">
        <f>'CUMPLIMIENTO GUARDIAS'!J349</f>
        <v>0</v>
      </c>
      <c r="F349" s="34">
        <f>'CUMPLIMIENTO GUARDIAS'!I349</f>
        <v>0</v>
      </c>
      <c r="G349">
        <f>'CUMPLIMIENTO GUARDIAS'!E349</f>
        <v>0</v>
      </c>
      <c r="H349">
        <f>'CUMPLIMIENTO GUARDIAS'!F349</f>
        <v>0</v>
      </c>
      <c r="I349">
        <f>'CUMPLIMIENTO GUARDIAS'!G349</f>
        <v>0</v>
      </c>
      <c r="J349">
        <f>--(C349&lt;=MATCH('DASHBOARD AVANZADO'!$G$3,'DASHBOARD AVANZADO'!$Q$1:$Q$12,0))</f>
        <v>0</v>
      </c>
      <c r="K349">
        <f t="shared" si="5"/>
        <v>0</v>
      </c>
      <c r="L349">
        <v>349</v>
      </c>
    </row>
    <row r="350" spans="1:12" x14ac:dyDescent="0.25">
      <c r="A350" t="s">
        <v>71</v>
      </c>
      <c r="B350" t="s">
        <v>16</v>
      </c>
      <c r="C350">
        <v>11</v>
      </c>
      <c r="D350" t="s">
        <v>57</v>
      </c>
      <c r="E350">
        <f>'CUMPLIMIENTO GUARDIAS'!J350</f>
        <v>0</v>
      </c>
      <c r="F350" s="34">
        <f>'CUMPLIMIENTO GUARDIAS'!I350</f>
        <v>0</v>
      </c>
      <c r="G350">
        <f>'CUMPLIMIENTO GUARDIAS'!E350</f>
        <v>0</v>
      </c>
      <c r="H350">
        <f>'CUMPLIMIENTO GUARDIAS'!F350</f>
        <v>0</v>
      </c>
      <c r="I350">
        <f>'CUMPLIMIENTO GUARDIAS'!G350</f>
        <v>0</v>
      </c>
      <c r="J350">
        <f>--(C350&lt;=MATCH('DASHBOARD AVANZADO'!$G$3,'DASHBOARD AVANZADO'!$Q$1:$Q$12,0))</f>
        <v>0</v>
      </c>
      <c r="K350">
        <f t="shared" si="5"/>
        <v>0</v>
      </c>
      <c r="L350">
        <v>350</v>
      </c>
    </row>
    <row r="351" spans="1:12" x14ac:dyDescent="0.25">
      <c r="A351" t="s">
        <v>71</v>
      </c>
      <c r="B351" t="s">
        <v>16</v>
      </c>
      <c r="C351">
        <v>11</v>
      </c>
      <c r="D351" t="s">
        <v>39</v>
      </c>
      <c r="E351">
        <f>'CUMPLIMIENTO GUARDIAS'!J351</f>
        <v>0</v>
      </c>
      <c r="F351" s="34">
        <f>'CUMPLIMIENTO GUARDIAS'!I351</f>
        <v>0</v>
      </c>
      <c r="G351">
        <f>'CUMPLIMIENTO GUARDIAS'!E351</f>
        <v>0</v>
      </c>
      <c r="H351">
        <f>'CUMPLIMIENTO GUARDIAS'!F351</f>
        <v>0</v>
      </c>
      <c r="I351">
        <f>'CUMPLIMIENTO GUARDIAS'!G351</f>
        <v>0</v>
      </c>
      <c r="J351">
        <f>--(C351&lt;=MATCH('DASHBOARD AVANZADO'!$G$3,'DASHBOARD AVANZADO'!$Q$1:$Q$12,0))</f>
        <v>0</v>
      </c>
      <c r="K351">
        <f t="shared" si="5"/>
        <v>0</v>
      </c>
      <c r="L351">
        <v>351</v>
      </c>
    </row>
    <row r="352" spans="1:12" x14ac:dyDescent="0.25">
      <c r="A352" t="s">
        <v>71</v>
      </c>
      <c r="B352" t="s">
        <v>17</v>
      </c>
      <c r="C352">
        <v>12</v>
      </c>
      <c r="D352" t="s">
        <v>38</v>
      </c>
      <c r="E352">
        <f>'CUMPLIMIENTO GUARDIAS'!J352</f>
        <v>0</v>
      </c>
      <c r="F352" s="34">
        <f>'CUMPLIMIENTO GUARDIAS'!I352</f>
        <v>0</v>
      </c>
      <c r="G352">
        <f>'CUMPLIMIENTO GUARDIAS'!E352</f>
        <v>0</v>
      </c>
      <c r="H352">
        <f>'CUMPLIMIENTO GUARDIAS'!F352</f>
        <v>0</v>
      </c>
      <c r="I352">
        <f>'CUMPLIMIENTO GUARDIAS'!G352</f>
        <v>0</v>
      </c>
      <c r="J352">
        <f>--(C352&lt;=MATCH('DASHBOARD AVANZADO'!$G$3,'DASHBOARD AVANZADO'!$Q$1:$Q$12,0))</f>
        <v>0</v>
      </c>
      <c r="K352">
        <f t="shared" si="5"/>
        <v>0</v>
      </c>
      <c r="L352">
        <v>352</v>
      </c>
    </row>
    <row r="353" spans="1:12" x14ac:dyDescent="0.25">
      <c r="A353" t="s">
        <v>72</v>
      </c>
      <c r="B353" t="s">
        <v>6</v>
      </c>
      <c r="C353">
        <v>1</v>
      </c>
      <c r="D353" t="s">
        <v>38</v>
      </c>
      <c r="E353" t="str">
        <f>'CUMPLIMIENTO GUARDIAS'!J353</f>
        <v>C</v>
      </c>
      <c r="F353" s="34">
        <f>'CUMPLIMIENTO GUARDIAS'!I353</f>
        <v>1</v>
      </c>
      <c r="G353" t="str">
        <f>'CUMPLIMIENTO GUARDIAS'!E353</f>
        <v>C</v>
      </c>
      <c r="H353" t="str">
        <f>'CUMPLIMIENTO GUARDIAS'!F353</f>
        <v>C</v>
      </c>
      <c r="I353" t="str">
        <f>'CUMPLIMIENTO GUARDIAS'!G353</f>
        <v>C</v>
      </c>
      <c r="J353">
        <f>--(C353&lt;=MATCH('DASHBOARD AVANZADO'!$G$3,'DASHBOARD AVANZADO'!$Q$1:$Q$12,0))</f>
        <v>1</v>
      </c>
      <c r="K353">
        <f t="shared" si="5"/>
        <v>1</v>
      </c>
      <c r="L353">
        <v>353</v>
      </c>
    </row>
    <row r="354" spans="1:12" x14ac:dyDescent="0.25">
      <c r="A354" t="s">
        <v>72</v>
      </c>
      <c r="B354" t="s">
        <v>6</v>
      </c>
      <c r="C354">
        <v>1</v>
      </c>
      <c r="D354" t="s">
        <v>39</v>
      </c>
      <c r="E354" t="str">
        <f>'CUMPLIMIENTO GUARDIAS'!J354</f>
        <v>C</v>
      </c>
      <c r="F354" s="34">
        <f>'CUMPLIMIENTO GUARDIAS'!I354</f>
        <v>1</v>
      </c>
      <c r="G354" t="str">
        <f>'CUMPLIMIENTO GUARDIAS'!E354</f>
        <v>C</v>
      </c>
      <c r="H354" t="str">
        <f>'CUMPLIMIENTO GUARDIAS'!F354</f>
        <v>C</v>
      </c>
      <c r="I354" t="str">
        <f>'CUMPLIMIENTO GUARDIAS'!G354</f>
        <v>C</v>
      </c>
      <c r="J354">
        <f>--(C354&lt;=MATCH('DASHBOARD AVANZADO'!$G$3,'DASHBOARD AVANZADO'!$Q$1:$Q$12,0))</f>
        <v>1</v>
      </c>
      <c r="K354">
        <f t="shared" si="5"/>
        <v>1</v>
      </c>
      <c r="L354">
        <v>354</v>
      </c>
    </row>
    <row r="355" spans="1:12" x14ac:dyDescent="0.25">
      <c r="A355" t="s">
        <v>72</v>
      </c>
      <c r="B355" t="s">
        <v>7</v>
      </c>
      <c r="C355">
        <v>2</v>
      </c>
      <c r="D355" t="s">
        <v>40</v>
      </c>
      <c r="E355" t="str">
        <f>'CUMPLIMIENTO GUARDIAS'!J355</f>
        <v>C</v>
      </c>
      <c r="F355" s="34">
        <f>'CUMPLIMIENTO GUARDIAS'!I355</f>
        <v>1</v>
      </c>
      <c r="G355" t="str">
        <f>'CUMPLIMIENTO GUARDIAS'!E355</f>
        <v>C</v>
      </c>
      <c r="H355" t="str">
        <f>'CUMPLIMIENTO GUARDIAS'!F355</f>
        <v>C</v>
      </c>
      <c r="I355" t="str">
        <f>'CUMPLIMIENTO GUARDIAS'!G355</f>
        <v>C</v>
      </c>
      <c r="J355">
        <f>--(C355&lt;=MATCH('DASHBOARD AVANZADO'!$G$3,'DASHBOARD AVANZADO'!$Q$1:$Q$12,0))</f>
        <v>1</v>
      </c>
      <c r="K355">
        <f t="shared" si="5"/>
        <v>1</v>
      </c>
      <c r="L355">
        <v>355</v>
      </c>
    </row>
    <row r="356" spans="1:12" x14ac:dyDescent="0.25">
      <c r="A356" t="s">
        <v>72</v>
      </c>
      <c r="B356" t="s">
        <v>7</v>
      </c>
      <c r="C356">
        <v>2</v>
      </c>
      <c r="D356" t="s">
        <v>20</v>
      </c>
      <c r="E356" t="str">
        <f>'CUMPLIMIENTO GUARDIAS'!J356</f>
        <v>C</v>
      </c>
      <c r="F356" s="34">
        <f>'CUMPLIMIENTO GUARDIAS'!I356</f>
        <v>1</v>
      </c>
      <c r="G356" t="str">
        <f>'CUMPLIMIENTO GUARDIAS'!E356</f>
        <v>C</v>
      </c>
      <c r="H356" t="str">
        <f>'CUMPLIMIENTO GUARDIAS'!F356</f>
        <v>C</v>
      </c>
      <c r="I356" t="str">
        <f>'CUMPLIMIENTO GUARDIAS'!G356</f>
        <v>C</v>
      </c>
      <c r="J356">
        <f>--(C356&lt;=MATCH('DASHBOARD AVANZADO'!$G$3,'DASHBOARD AVANZADO'!$Q$1:$Q$12,0))</f>
        <v>1</v>
      </c>
      <c r="K356">
        <f t="shared" si="5"/>
        <v>1</v>
      </c>
      <c r="L356">
        <v>356</v>
      </c>
    </row>
    <row r="357" spans="1:12" x14ac:dyDescent="0.25">
      <c r="A357" t="s">
        <v>72</v>
      </c>
      <c r="B357" t="s">
        <v>8</v>
      </c>
      <c r="C357">
        <v>3</v>
      </c>
      <c r="D357" t="s">
        <v>41</v>
      </c>
      <c r="E357" t="str">
        <f>'CUMPLIMIENTO GUARDIAS'!J357</f>
        <v>C</v>
      </c>
      <c r="F357" s="34">
        <f>'CUMPLIMIENTO GUARDIAS'!I357</f>
        <v>1</v>
      </c>
      <c r="G357" t="str">
        <f>'CUMPLIMIENTO GUARDIAS'!E357</f>
        <v>C</v>
      </c>
      <c r="H357" t="str">
        <f>'CUMPLIMIENTO GUARDIAS'!F357</f>
        <v>C</v>
      </c>
      <c r="I357" t="str">
        <f>'CUMPLIMIENTO GUARDIAS'!G357</f>
        <v>C</v>
      </c>
      <c r="J357">
        <f>--(C357&lt;=MATCH('DASHBOARD AVANZADO'!$G$3,'DASHBOARD AVANZADO'!$Q$1:$Q$12,0))</f>
        <v>1</v>
      </c>
      <c r="K357">
        <f t="shared" si="5"/>
        <v>1</v>
      </c>
      <c r="L357">
        <v>357</v>
      </c>
    </row>
    <row r="358" spans="1:12" x14ac:dyDescent="0.25">
      <c r="A358" t="s">
        <v>72</v>
      </c>
      <c r="B358" t="s">
        <v>8</v>
      </c>
      <c r="C358">
        <v>3</v>
      </c>
      <c r="D358" t="s">
        <v>42</v>
      </c>
      <c r="E358" t="str">
        <f>'CUMPLIMIENTO GUARDIAS'!J358</f>
        <v>C</v>
      </c>
      <c r="F358" s="34">
        <f>'CUMPLIMIENTO GUARDIAS'!I358</f>
        <v>1</v>
      </c>
      <c r="G358" t="str">
        <f>'CUMPLIMIENTO GUARDIAS'!E358</f>
        <v>C</v>
      </c>
      <c r="H358" t="str">
        <f>'CUMPLIMIENTO GUARDIAS'!F358</f>
        <v>C</v>
      </c>
      <c r="I358" t="str">
        <f>'CUMPLIMIENTO GUARDIAS'!G358</f>
        <v>C</v>
      </c>
      <c r="J358">
        <f>--(C358&lt;=MATCH('DASHBOARD AVANZADO'!$G$3,'DASHBOARD AVANZADO'!$Q$1:$Q$12,0))</f>
        <v>1</v>
      </c>
      <c r="K358">
        <f t="shared" si="5"/>
        <v>1</v>
      </c>
      <c r="L358">
        <v>358</v>
      </c>
    </row>
    <row r="359" spans="1:12" x14ac:dyDescent="0.25">
      <c r="A359" t="s">
        <v>72</v>
      </c>
      <c r="B359" t="s">
        <v>9</v>
      </c>
      <c r="C359">
        <v>4</v>
      </c>
      <c r="D359" t="s">
        <v>43</v>
      </c>
      <c r="E359" t="str">
        <f>'CUMPLIMIENTO GUARDIAS'!J359</f>
        <v>C</v>
      </c>
      <c r="F359" s="34">
        <f>'CUMPLIMIENTO GUARDIAS'!I359</f>
        <v>1</v>
      </c>
      <c r="G359" t="str">
        <f>'CUMPLIMIENTO GUARDIAS'!E359</f>
        <v>C</v>
      </c>
      <c r="H359" t="str">
        <f>'CUMPLIMIENTO GUARDIAS'!F359</f>
        <v>C</v>
      </c>
      <c r="I359" t="str">
        <f>'CUMPLIMIENTO GUARDIAS'!G359</f>
        <v>C</v>
      </c>
      <c r="J359">
        <f>--(C359&lt;=MATCH('DASHBOARD AVANZADO'!$G$3,'DASHBOARD AVANZADO'!$Q$1:$Q$12,0))</f>
        <v>1</v>
      </c>
      <c r="K359">
        <f t="shared" si="5"/>
        <v>1</v>
      </c>
      <c r="L359">
        <v>359</v>
      </c>
    </row>
    <row r="360" spans="1:12" x14ac:dyDescent="0.25">
      <c r="A360" t="s">
        <v>72</v>
      </c>
      <c r="B360" t="s">
        <v>9</v>
      </c>
      <c r="C360">
        <v>4</v>
      </c>
      <c r="D360" t="s">
        <v>44</v>
      </c>
      <c r="E360" t="str">
        <f>'CUMPLIMIENTO GUARDIAS'!J360</f>
        <v>C</v>
      </c>
      <c r="F360" s="34">
        <f>'CUMPLIMIENTO GUARDIAS'!I360</f>
        <v>1</v>
      </c>
      <c r="G360" t="str">
        <f>'CUMPLIMIENTO GUARDIAS'!E360</f>
        <v>C</v>
      </c>
      <c r="H360" t="str">
        <f>'CUMPLIMIENTO GUARDIAS'!F360</f>
        <v>C</v>
      </c>
      <c r="I360" t="str">
        <f>'CUMPLIMIENTO GUARDIAS'!G360</f>
        <v>C</v>
      </c>
      <c r="J360">
        <f>--(C360&lt;=MATCH('DASHBOARD AVANZADO'!$G$3,'DASHBOARD AVANZADO'!$Q$1:$Q$12,0))</f>
        <v>1</v>
      </c>
      <c r="K360">
        <f t="shared" si="5"/>
        <v>1</v>
      </c>
      <c r="L360">
        <v>360</v>
      </c>
    </row>
    <row r="361" spans="1:12" x14ac:dyDescent="0.25">
      <c r="A361" t="s">
        <v>72</v>
      </c>
      <c r="B361" t="s">
        <v>9</v>
      </c>
      <c r="C361">
        <v>4</v>
      </c>
      <c r="D361" t="s">
        <v>45</v>
      </c>
      <c r="E361" t="str">
        <f>'CUMPLIMIENTO GUARDIAS'!J361</f>
        <v>C</v>
      </c>
      <c r="F361" s="34">
        <f>'CUMPLIMIENTO GUARDIAS'!I361</f>
        <v>1</v>
      </c>
      <c r="G361" t="str">
        <f>'CUMPLIMIENTO GUARDIAS'!E361</f>
        <v>C</v>
      </c>
      <c r="H361" t="str">
        <f>'CUMPLIMIENTO GUARDIAS'!F361</f>
        <v>C</v>
      </c>
      <c r="I361" t="str">
        <f>'CUMPLIMIENTO GUARDIAS'!G361</f>
        <v>C</v>
      </c>
      <c r="J361">
        <f>--(C361&lt;=MATCH('DASHBOARD AVANZADO'!$G$3,'DASHBOARD AVANZADO'!$Q$1:$Q$12,0))</f>
        <v>1</v>
      </c>
      <c r="K361">
        <f t="shared" si="5"/>
        <v>1</v>
      </c>
      <c r="L361">
        <v>361</v>
      </c>
    </row>
    <row r="362" spans="1:12" x14ac:dyDescent="0.25">
      <c r="A362" t="s">
        <v>72</v>
      </c>
      <c r="B362" t="s">
        <v>10</v>
      </c>
      <c r="C362">
        <v>5</v>
      </c>
      <c r="D362" t="s">
        <v>46</v>
      </c>
      <c r="E362" t="str">
        <f>'CUMPLIMIENTO GUARDIAS'!J362</f>
        <v>C</v>
      </c>
      <c r="F362" s="34">
        <f>'CUMPLIMIENTO GUARDIAS'!I362</f>
        <v>1</v>
      </c>
      <c r="G362" t="str">
        <f>'CUMPLIMIENTO GUARDIAS'!E362</f>
        <v>C</v>
      </c>
      <c r="H362" t="str">
        <f>'CUMPLIMIENTO GUARDIAS'!F362</f>
        <v>C</v>
      </c>
      <c r="I362" t="str">
        <f>'CUMPLIMIENTO GUARDIAS'!G362</f>
        <v>C</v>
      </c>
      <c r="J362">
        <f>--(C362&lt;=MATCH('DASHBOARD AVANZADO'!$G$3,'DASHBOARD AVANZADO'!$Q$1:$Q$12,0))</f>
        <v>1</v>
      </c>
      <c r="K362">
        <f t="shared" si="5"/>
        <v>1</v>
      </c>
      <c r="L362">
        <v>362</v>
      </c>
    </row>
    <row r="363" spans="1:12" x14ac:dyDescent="0.25">
      <c r="A363" t="s">
        <v>72</v>
      </c>
      <c r="B363" t="s">
        <v>10</v>
      </c>
      <c r="C363">
        <v>5</v>
      </c>
      <c r="D363" t="s">
        <v>47</v>
      </c>
      <c r="E363" t="str">
        <f>'CUMPLIMIENTO GUARDIAS'!J363</f>
        <v>C</v>
      </c>
      <c r="F363" s="34">
        <f>'CUMPLIMIENTO GUARDIAS'!I363</f>
        <v>1</v>
      </c>
      <c r="G363" t="str">
        <f>'CUMPLIMIENTO GUARDIAS'!E363</f>
        <v>C</v>
      </c>
      <c r="H363" t="str">
        <f>'CUMPLIMIENTO GUARDIAS'!F363</f>
        <v>C</v>
      </c>
      <c r="I363" t="str">
        <f>'CUMPLIMIENTO GUARDIAS'!G363</f>
        <v>C</v>
      </c>
      <c r="J363">
        <f>--(C363&lt;=MATCH('DASHBOARD AVANZADO'!$G$3,'DASHBOARD AVANZADO'!$Q$1:$Q$12,0))</f>
        <v>1</v>
      </c>
      <c r="K363">
        <f t="shared" si="5"/>
        <v>1</v>
      </c>
      <c r="L363">
        <v>363</v>
      </c>
    </row>
    <row r="364" spans="1:12" x14ac:dyDescent="0.25">
      <c r="A364" t="s">
        <v>72</v>
      </c>
      <c r="B364" t="s">
        <v>11</v>
      </c>
      <c r="C364">
        <v>6</v>
      </c>
      <c r="D364" t="s">
        <v>20</v>
      </c>
      <c r="E364" t="str">
        <f>'CUMPLIMIENTO GUARDIAS'!J364</f>
        <v>C</v>
      </c>
      <c r="F364" s="34">
        <f>'CUMPLIMIENTO GUARDIAS'!I364</f>
        <v>1</v>
      </c>
      <c r="G364" t="str">
        <f>'CUMPLIMIENTO GUARDIAS'!E364</f>
        <v>C</v>
      </c>
      <c r="H364" t="str">
        <f>'CUMPLIMIENTO GUARDIAS'!F364</f>
        <v>C</v>
      </c>
      <c r="I364" t="str">
        <f>'CUMPLIMIENTO GUARDIAS'!G364</f>
        <v>C</v>
      </c>
      <c r="J364">
        <f>--(C364&lt;=MATCH('DASHBOARD AVANZADO'!$G$3,'DASHBOARD AVANZADO'!$Q$1:$Q$12,0))</f>
        <v>1</v>
      </c>
      <c r="K364">
        <f t="shared" si="5"/>
        <v>1</v>
      </c>
      <c r="L364">
        <v>364</v>
      </c>
    </row>
    <row r="365" spans="1:12" x14ac:dyDescent="0.25">
      <c r="A365" t="s">
        <v>72</v>
      </c>
      <c r="B365" t="s">
        <v>11</v>
      </c>
      <c r="C365">
        <v>6</v>
      </c>
      <c r="D365" t="s">
        <v>48</v>
      </c>
      <c r="E365" t="str">
        <f>'CUMPLIMIENTO GUARDIAS'!J365</f>
        <v>C</v>
      </c>
      <c r="F365" s="34">
        <f>'CUMPLIMIENTO GUARDIAS'!I365</f>
        <v>1</v>
      </c>
      <c r="G365" t="str">
        <f>'CUMPLIMIENTO GUARDIAS'!E365</f>
        <v>C</v>
      </c>
      <c r="H365" t="str">
        <f>'CUMPLIMIENTO GUARDIAS'!F365</f>
        <v>C</v>
      </c>
      <c r="I365" t="str">
        <f>'CUMPLIMIENTO GUARDIAS'!G365</f>
        <v>C</v>
      </c>
      <c r="J365">
        <f>--(C365&lt;=MATCH('DASHBOARD AVANZADO'!$G$3,'DASHBOARD AVANZADO'!$Q$1:$Q$12,0))</f>
        <v>1</v>
      </c>
      <c r="K365">
        <f t="shared" si="5"/>
        <v>1</v>
      </c>
      <c r="L365">
        <v>365</v>
      </c>
    </row>
    <row r="366" spans="1:12" x14ac:dyDescent="0.25">
      <c r="A366" t="s">
        <v>72</v>
      </c>
      <c r="B366" t="s">
        <v>11</v>
      </c>
      <c r="C366">
        <v>6</v>
      </c>
      <c r="D366" t="s">
        <v>49</v>
      </c>
      <c r="E366" t="str">
        <f>'CUMPLIMIENTO GUARDIAS'!J366</f>
        <v>F</v>
      </c>
      <c r="F366" s="34">
        <f>'CUMPLIMIENTO GUARDIAS'!I366</f>
        <v>0</v>
      </c>
      <c r="G366" t="str">
        <f>'CUMPLIMIENTO GUARDIAS'!E366</f>
        <v>F</v>
      </c>
      <c r="H366" t="str">
        <f>'CUMPLIMIENTO GUARDIAS'!F366</f>
        <v>F</v>
      </c>
      <c r="I366" t="str">
        <f>'CUMPLIMIENTO GUARDIAS'!G366</f>
        <v>F</v>
      </c>
      <c r="J366">
        <f>--(C366&lt;=MATCH('DASHBOARD AVANZADO'!$G$3,'DASHBOARD AVANZADO'!$Q$1:$Q$12,0))</f>
        <v>1</v>
      </c>
      <c r="K366">
        <f t="shared" si="5"/>
        <v>0</v>
      </c>
      <c r="L366">
        <v>366</v>
      </c>
    </row>
    <row r="367" spans="1:12" x14ac:dyDescent="0.25">
      <c r="A367" t="s">
        <v>72</v>
      </c>
      <c r="B367" t="s">
        <v>12</v>
      </c>
      <c r="C367">
        <v>7</v>
      </c>
      <c r="D367" t="s">
        <v>38</v>
      </c>
      <c r="E367" t="str">
        <f>'CUMPLIMIENTO GUARDIAS'!J367</f>
        <v>C</v>
      </c>
      <c r="F367" s="34">
        <f>'CUMPLIMIENTO GUARDIAS'!I367</f>
        <v>1</v>
      </c>
      <c r="G367" t="str">
        <f>'CUMPLIMIENTO GUARDIAS'!E367</f>
        <v>C</v>
      </c>
      <c r="H367" t="str">
        <f>'CUMPLIMIENTO GUARDIAS'!F367</f>
        <v>C</v>
      </c>
      <c r="I367" t="str">
        <f>'CUMPLIMIENTO GUARDIAS'!G367</f>
        <v>C</v>
      </c>
      <c r="J367">
        <f>--(C367&lt;=MATCH('DASHBOARD AVANZADO'!$G$3,'DASHBOARD AVANZADO'!$Q$1:$Q$12,0))</f>
        <v>1</v>
      </c>
      <c r="K367">
        <f t="shared" si="5"/>
        <v>1</v>
      </c>
      <c r="L367">
        <v>367</v>
      </c>
    </row>
    <row r="368" spans="1:12" x14ac:dyDescent="0.25">
      <c r="A368" t="s">
        <v>72</v>
      </c>
      <c r="B368" t="s">
        <v>12</v>
      </c>
      <c r="C368">
        <v>7</v>
      </c>
      <c r="D368" t="s">
        <v>87</v>
      </c>
      <c r="E368" t="str">
        <f>'CUMPLIMIENTO GUARDIAS'!J368</f>
        <v>F</v>
      </c>
      <c r="F368" s="34">
        <f>'CUMPLIMIENTO GUARDIAS'!I368</f>
        <v>0</v>
      </c>
      <c r="G368">
        <f>'CUMPLIMIENTO GUARDIAS'!E368</f>
        <v>0</v>
      </c>
      <c r="H368">
        <f>'CUMPLIMIENTO GUARDIAS'!F368</f>
        <v>0</v>
      </c>
      <c r="I368">
        <f>'CUMPLIMIENTO GUARDIAS'!G368</f>
        <v>0</v>
      </c>
      <c r="J368">
        <f>--(C368&lt;=MATCH('DASHBOARD AVANZADO'!$G$3,'DASHBOARD AVANZADO'!$Q$1:$Q$12,0))</f>
        <v>1</v>
      </c>
      <c r="K368">
        <f t="shared" si="5"/>
        <v>0</v>
      </c>
      <c r="L368">
        <v>368</v>
      </c>
    </row>
    <row r="369" spans="1:12" x14ac:dyDescent="0.25">
      <c r="A369" t="s">
        <v>72</v>
      </c>
      <c r="B369" t="s">
        <v>12</v>
      </c>
      <c r="C369">
        <v>7</v>
      </c>
      <c r="D369" t="s">
        <v>51</v>
      </c>
      <c r="E369" t="str">
        <f>'CUMPLIMIENTO GUARDIAS'!J369</f>
        <v>EP</v>
      </c>
      <c r="F369" s="34">
        <f>'CUMPLIMIENTO GUARDIAS'!I369</f>
        <v>0</v>
      </c>
      <c r="G369" t="str">
        <f>'CUMPLIMIENTO GUARDIAS'!E369</f>
        <v>EP</v>
      </c>
      <c r="H369" t="str">
        <f>'CUMPLIMIENTO GUARDIAS'!F369</f>
        <v>EP</v>
      </c>
      <c r="I369" t="str">
        <f>'CUMPLIMIENTO GUARDIAS'!G369</f>
        <v>EP</v>
      </c>
      <c r="J369">
        <f>--(C369&lt;=MATCH('DASHBOARD AVANZADO'!$G$3,'DASHBOARD AVANZADO'!$Q$1:$Q$12,0))</f>
        <v>1</v>
      </c>
      <c r="K369">
        <f t="shared" si="5"/>
        <v>0</v>
      </c>
      <c r="L369">
        <v>369</v>
      </c>
    </row>
    <row r="370" spans="1:12" x14ac:dyDescent="0.25">
      <c r="A370" t="s">
        <v>72</v>
      </c>
      <c r="B370" t="s">
        <v>13</v>
      </c>
      <c r="C370">
        <v>8</v>
      </c>
      <c r="D370" t="s">
        <v>52</v>
      </c>
      <c r="E370">
        <f>'CUMPLIMIENTO GUARDIAS'!J370</f>
        <v>0</v>
      </c>
      <c r="F370" s="34">
        <f>'CUMPLIMIENTO GUARDIAS'!I370</f>
        <v>0</v>
      </c>
      <c r="G370">
        <f>'CUMPLIMIENTO GUARDIAS'!E370</f>
        <v>0</v>
      </c>
      <c r="H370">
        <f>'CUMPLIMIENTO GUARDIAS'!F370</f>
        <v>0</v>
      </c>
      <c r="I370">
        <f>'CUMPLIMIENTO GUARDIAS'!G370</f>
        <v>0</v>
      </c>
      <c r="J370">
        <f>--(C370&lt;=MATCH('DASHBOARD AVANZADO'!$G$3,'DASHBOARD AVANZADO'!$Q$1:$Q$12,0))</f>
        <v>0</v>
      </c>
      <c r="K370">
        <f t="shared" si="5"/>
        <v>0</v>
      </c>
      <c r="L370">
        <v>370</v>
      </c>
    </row>
    <row r="371" spans="1:12" x14ac:dyDescent="0.25">
      <c r="A371" t="s">
        <v>72</v>
      </c>
      <c r="B371" t="s">
        <v>13</v>
      </c>
      <c r="C371">
        <v>8</v>
      </c>
      <c r="D371" t="s">
        <v>53</v>
      </c>
      <c r="E371">
        <f>'CUMPLIMIENTO GUARDIAS'!J371</f>
        <v>0</v>
      </c>
      <c r="F371" s="34">
        <f>'CUMPLIMIENTO GUARDIAS'!I371</f>
        <v>0</v>
      </c>
      <c r="G371">
        <f>'CUMPLIMIENTO GUARDIAS'!E371</f>
        <v>0</v>
      </c>
      <c r="H371">
        <f>'CUMPLIMIENTO GUARDIAS'!F371</f>
        <v>0</v>
      </c>
      <c r="I371">
        <f>'CUMPLIMIENTO GUARDIAS'!G371</f>
        <v>0</v>
      </c>
      <c r="J371">
        <f>--(C371&lt;=MATCH('DASHBOARD AVANZADO'!$G$3,'DASHBOARD AVANZADO'!$Q$1:$Q$12,0))</f>
        <v>0</v>
      </c>
      <c r="K371">
        <f t="shared" si="5"/>
        <v>0</v>
      </c>
      <c r="L371">
        <v>371</v>
      </c>
    </row>
    <row r="372" spans="1:12" x14ac:dyDescent="0.25">
      <c r="A372" t="s">
        <v>72</v>
      </c>
      <c r="B372" t="s">
        <v>13</v>
      </c>
      <c r="C372">
        <v>8</v>
      </c>
      <c r="D372" t="s">
        <v>54</v>
      </c>
      <c r="E372">
        <f>'CUMPLIMIENTO GUARDIAS'!J372</f>
        <v>0</v>
      </c>
      <c r="F372" s="34">
        <f>'CUMPLIMIENTO GUARDIAS'!I372</f>
        <v>0</v>
      </c>
      <c r="G372">
        <f>'CUMPLIMIENTO GUARDIAS'!E372</f>
        <v>0</v>
      </c>
      <c r="H372">
        <f>'CUMPLIMIENTO GUARDIAS'!F372</f>
        <v>0</v>
      </c>
      <c r="I372">
        <f>'CUMPLIMIENTO GUARDIAS'!G372</f>
        <v>0</v>
      </c>
      <c r="J372">
        <f>--(C372&lt;=MATCH('DASHBOARD AVANZADO'!$G$3,'DASHBOARD AVANZADO'!$Q$1:$Q$12,0))</f>
        <v>0</v>
      </c>
      <c r="K372">
        <f t="shared" si="5"/>
        <v>0</v>
      </c>
      <c r="L372">
        <v>372</v>
      </c>
    </row>
    <row r="373" spans="1:12" x14ac:dyDescent="0.25">
      <c r="A373" t="s">
        <v>72</v>
      </c>
      <c r="B373" t="s">
        <v>14</v>
      </c>
      <c r="C373">
        <v>9</v>
      </c>
      <c r="D373" t="s">
        <v>55</v>
      </c>
      <c r="E373">
        <f>'CUMPLIMIENTO GUARDIAS'!J373</f>
        <v>0</v>
      </c>
      <c r="F373" s="34">
        <f>'CUMPLIMIENTO GUARDIAS'!I373</f>
        <v>0</v>
      </c>
      <c r="G373">
        <f>'CUMPLIMIENTO GUARDIAS'!E373</f>
        <v>0</v>
      </c>
      <c r="H373">
        <f>'CUMPLIMIENTO GUARDIAS'!F373</f>
        <v>0</v>
      </c>
      <c r="I373">
        <f>'CUMPLIMIENTO GUARDIAS'!G373</f>
        <v>0</v>
      </c>
      <c r="J373">
        <f>--(C373&lt;=MATCH('DASHBOARD AVANZADO'!$G$3,'DASHBOARD AVANZADO'!$Q$1:$Q$12,0))</f>
        <v>0</v>
      </c>
      <c r="K373">
        <f t="shared" si="5"/>
        <v>0</v>
      </c>
      <c r="L373">
        <v>373</v>
      </c>
    </row>
    <row r="374" spans="1:12" x14ac:dyDescent="0.25">
      <c r="A374" t="s">
        <v>72</v>
      </c>
      <c r="B374" t="s">
        <v>14</v>
      </c>
      <c r="C374">
        <v>9</v>
      </c>
      <c r="D374" t="s">
        <v>56</v>
      </c>
      <c r="E374">
        <f>'CUMPLIMIENTO GUARDIAS'!J374</f>
        <v>0</v>
      </c>
      <c r="F374" s="34">
        <f>'CUMPLIMIENTO GUARDIAS'!I374</f>
        <v>0</v>
      </c>
      <c r="G374">
        <f>'CUMPLIMIENTO GUARDIAS'!E374</f>
        <v>0</v>
      </c>
      <c r="H374">
        <f>'CUMPLIMIENTO GUARDIAS'!F374</f>
        <v>0</v>
      </c>
      <c r="I374">
        <f>'CUMPLIMIENTO GUARDIAS'!G374</f>
        <v>0</v>
      </c>
      <c r="J374">
        <f>--(C374&lt;=MATCH('DASHBOARD AVANZADO'!$G$3,'DASHBOARD AVANZADO'!$Q$1:$Q$12,0))</f>
        <v>0</v>
      </c>
      <c r="K374">
        <f t="shared" si="5"/>
        <v>0</v>
      </c>
      <c r="L374">
        <v>374</v>
      </c>
    </row>
    <row r="375" spans="1:12" x14ac:dyDescent="0.25">
      <c r="A375" t="s">
        <v>72</v>
      </c>
      <c r="B375" t="s">
        <v>15</v>
      </c>
      <c r="C375">
        <v>10</v>
      </c>
      <c r="D375" t="s">
        <v>20</v>
      </c>
      <c r="E375">
        <f>'CUMPLIMIENTO GUARDIAS'!J375</f>
        <v>0</v>
      </c>
      <c r="F375" s="34">
        <f>'CUMPLIMIENTO GUARDIAS'!I375</f>
        <v>0</v>
      </c>
      <c r="G375">
        <f>'CUMPLIMIENTO GUARDIAS'!E375</f>
        <v>0</v>
      </c>
      <c r="H375">
        <f>'CUMPLIMIENTO GUARDIAS'!F375</f>
        <v>0</v>
      </c>
      <c r="I375">
        <f>'CUMPLIMIENTO GUARDIAS'!G375</f>
        <v>0</v>
      </c>
      <c r="J375">
        <f>--(C375&lt;=MATCH('DASHBOARD AVANZADO'!$G$3,'DASHBOARD AVANZADO'!$Q$1:$Q$12,0))</f>
        <v>0</v>
      </c>
      <c r="K375">
        <f t="shared" si="5"/>
        <v>0</v>
      </c>
      <c r="L375">
        <v>375</v>
      </c>
    </row>
    <row r="376" spans="1:12" x14ac:dyDescent="0.25">
      <c r="A376" t="s">
        <v>72</v>
      </c>
      <c r="B376" t="s">
        <v>15</v>
      </c>
      <c r="C376">
        <v>10</v>
      </c>
      <c r="D376" t="s">
        <v>42</v>
      </c>
      <c r="E376">
        <f>'CUMPLIMIENTO GUARDIAS'!J376</f>
        <v>0</v>
      </c>
      <c r="F376" s="34">
        <f>'CUMPLIMIENTO GUARDIAS'!I376</f>
        <v>0</v>
      </c>
      <c r="G376">
        <f>'CUMPLIMIENTO GUARDIAS'!E376</f>
        <v>0</v>
      </c>
      <c r="H376">
        <f>'CUMPLIMIENTO GUARDIAS'!F376</f>
        <v>0</v>
      </c>
      <c r="I376">
        <f>'CUMPLIMIENTO GUARDIAS'!G376</f>
        <v>0</v>
      </c>
      <c r="J376">
        <f>--(C376&lt;=MATCH('DASHBOARD AVANZADO'!$G$3,'DASHBOARD AVANZADO'!$Q$1:$Q$12,0))</f>
        <v>0</v>
      </c>
      <c r="K376">
        <f t="shared" si="5"/>
        <v>0</v>
      </c>
      <c r="L376">
        <v>376</v>
      </c>
    </row>
    <row r="377" spans="1:12" x14ac:dyDescent="0.25">
      <c r="A377" t="s">
        <v>72</v>
      </c>
      <c r="B377" t="s">
        <v>16</v>
      </c>
      <c r="C377">
        <v>11</v>
      </c>
      <c r="D377" t="s">
        <v>57</v>
      </c>
      <c r="E377">
        <f>'CUMPLIMIENTO GUARDIAS'!J377</f>
        <v>0</v>
      </c>
      <c r="F377" s="34">
        <f>'CUMPLIMIENTO GUARDIAS'!I377</f>
        <v>0</v>
      </c>
      <c r="G377">
        <f>'CUMPLIMIENTO GUARDIAS'!E377</f>
        <v>0</v>
      </c>
      <c r="H377">
        <f>'CUMPLIMIENTO GUARDIAS'!F377</f>
        <v>0</v>
      </c>
      <c r="I377">
        <f>'CUMPLIMIENTO GUARDIAS'!G377</f>
        <v>0</v>
      </c>
      <c r="J377">
        <f>--(C377&lt;=MATCH('DASHBOARD AVANZADO'!$G$3,'DASHBOARD AVANZADO'!$Q$1:$Q$12,0))</f>
        <v>0</v>
      </c>
      <c r="K377">
        <f t="shared" si="5"/>
        <v>0</v>
      </c>
      <c r="L377">
        <v>377</v>
      </c>
    </row>
    <row r="378" spans="1:12" x14ac:dyDescent="0.25">
      <c r="A378" t="s">
        <v>72</v>
      </c>
      <c r="B378" t="s">
        <v>16</v>
      </c>
      <c r="C378">
        <v>11</v>
      </c>
      <c r="D378" t="s">
        <v>39</v>
      </c>
      <c r="E378">
        <f>'CUMPLIMIENTO GUARDIAS'!J378</f>
        <v>0</v>
      </c>
      <c r="F378" s="34">
        <f>'CUMPLIMIENTO GUARDIAS'!I378</f>
        <v>0</v>
      </c>
      <c r="G378">
        <f>'CUMPLIMIENTO GUARDIAS'!E378</f>
        <v>0</v>
      </c>
      <c r="H378">
        <f>'CUMPLIMIENTO GUARDIAS'!F378</f>
        <v>0</v>
      </c>
      <c r="I378">
        <f>'CUMPLIMIENTO GUARDIAS'!G378</f>
        <v>0</v>
      </c>
      <c r="J378">
        <f>--(C378&lt;=MATCH('DASHBOARD AVANZADO'!$G$3,'DASHBOARD AVANZADO'!$Q$1:$Q$12,0))</f>
        <v>0</v>
      </c>
      <c r="K378">
        <f t="shared" si="5"/>
        <v>0</v>
      </c>
      <c r="L378">
        <v>378</v>
      </c>
    </row>
    <row r="379" spans="1:12" x14ac:dyDescent="0.25">
      <c r="A379" t="s">
        <v>72</v>
      </c>
      <c r="B379" t="s">
        <v>17</v>
      </c>
      <c r="C379">
        <v>12</v>
      </c>
      <c r="D379" t="s">
        <v>38</v>
      </c>
      <c r="E379">
        <f>'CUMPLIMIENTO GUARDIAS'!J379</f>
        <v>0</v>
      </c>
      <c r="F379" s="34">
        <f>'CUMPLIMIENTO GUARDIAS'!I379</f>
        <v>0</v>
      </c>
      <c r="G379">
        <f>'CUMPLIMIENTO GUARDIAS'!E379</f>
        <v>0</v>
      </c>
      <c r="H379">
        <f>'CUMPLIMIENTO GUARDIAS'!F379</f>
        <v>0</v>
      </c>
      <c r="I379">
        <f>'CUMPLIMIENTO GUARDIAS'!G379</f>
        <v>0</v>
      </c>
      <c r="J379">
        <f>--(C379&lt;=MATCH('DASHBOARD AVANZADO'!$G$3,'DASHBOARD AVANZADO'!$Q$1:$Q$12,0))</f>
        <v>0</v>
      </c>
      <c r="K379">
        <f t="shared" si="5"/>
        <v>0</v>
      </c>
      <c r="L379">
        <v>379</v>
      </c>
    </row>
    <row r="380" spans="1:12" x14ac:dyDescent="0.25">
      <c r="A380" t="s">
        <v>73</v>
      </c>
      <c r="B380" t="s">
        <v>6</v>
      </c>
      <c r="C380">
        <v>1</v>
      </c>
      <c r="D380" t="s">
        <v>38</v>
      </c>
      <c r="E380" t="str">
        <f>'CUMPLIMIENTO GUARDIAS'!J380</f>
        <v>C</v>
      </c>
      <c r="F380" s="34">
        <f>'CUMPLIMIENTO GUARDIAS'!I380</f>
        <v>1</v>
      </c>
      <c r="G380" t="str">
        <f>'CUMPLIMIENTO GUARDIAS'!E380</f>
        <v>C</v>
      </c>
      <c r="H380" t="str">
        <f>'CUMPLIMIENTO GUARDIAS'!F380</f>
        <v>C</v>
      </c>
      <c r="I380" t="str">
        <f>'CUMPLIMIENTO GUARDIAS'!G380</f>
        <v>C</v>
      </c>
      <c r="J380">
        <f>--(C380&lt;=MATCH('DASHBOARD AVANZADO'!$G$3,'DASHBOARD AVANZADO'!$Q$1:$Q$12,0))</f>
        <v>1</v>
      </c>
      <c r="K380">
        <f t="shared" si="5"/>
        <v>1</v>
      </c>
      <c r="L380">
        <v>380</v>
      </c>
    </row>
    <row r="381" spans="1:12" x14ac:dyDescent="0.25">
      <c r="A381" t="s">
        <v>73</v>
      </c>
      <c r="B381" t="s">
        <v>6</v>
      </c>
      <c r="C381">
        <v>1</v>
      </c>
      <c r="D381" t="s">
        <v>39</v>
      </c>
      <c r="E381" t="str">
        <f>'CUMPLIMIENTO GUARDIAS'!J381</f>
        <v>C</v>
      </c>
      <c r="F381" s="34">
        <f>'CUMPLIMIENTO GUARDIAS'!I381</f>
        <v>1</v>
      </c>
      <c r="G381" t="str">
        <f>'CUMPLIMIENTO GUARDIAS'!E381</f>
        <v>C</v>
      </c>
      <c r="H381" t="str">
        <f>'CUMPLIMIENTO GUARDIAS'!F381</f>
        <v>C</v>
      </c>
      <c r="I381" t="str">
        <f>'CUMPLIMIENTO GUARDIAS'!G381</f>
        <v>C</v>
      </c>
      <c r="J381">
        <f>--(C381&lt;=MATCH('DASHBOARD AVANZADO'!$G$3,'DASHBOARD AVANZADO'!$Q$1:$Q$12,0))</f>
        <v>1</v>
      </c>
      <c r="K381">
        <f t="shared" si="5"/>
        <v>1</v>
      </c>
      <c r="L381">
        <v>381</v>
      </c>
    </row>
    <row r="382" spans="1:12" x14ac:dyDescent="0.25">
      <c r="A382" t="s">
        <v>73</v>
      </c>
      <c r="B382" t="s">
        <v>7</v>
      </c>
      <c r="C382">
        <v>2</v>
      </c>
      <c r="D382" t="s">
        <v>40</v>
      </c>
      <c r="E382" t="str">
        <f>'CUMPLIMIENTO GUARDIAS'!J382</f>
        <v>C</v>
      </c>
      <c r="F382" s="34">
        <f>'CUMPLIMIENTO GUARDIAS'!I382</f>
        <v>1</v>
      </c>
      <c r="G382" t="str">
        <f>'CUMPLIMIENTO GUARDIAS'!E382</f>
        <v>C</v>
      </c>
      <c r="H382" t="str">
        <f>'CUMPLIMIENTO GUARDIAS'!F382</f>
        <v>C</v>
      </c>
      <c r="I382" t="str">
        <f>'CUMPLIMIENTO GUARDIAS'!G382</f>
        <v>C</v>
      </c>
      <c r="J382">
        <f>--(C382&lt;=MATCH('DASHBOARD AVANZADO'!$G$3,'DASHBOARD AVANZADO'!$Q$1:$Q$12,0))</f>
        <v>1</v>
      </c>
      <c r="K382">
        <f t="shared" si="5"/>
        <v>1</v>
      </c>
      <c r="L382">
        <v>382</v>
      </c>
    </row>
    <row r="383" spans="1:12" x14ac:dyDescent="0.25">
      <c r="A383" t="s">
        <v>73</v>
      </c>
      <c r="B383" t="s">
        <v>7</v>
      </c>
      <c r="C383">
        <v>2</v>
      </c>
      <c r="D383" t="s">
        <v>20</v>
      </c>
      <c r="E383" t="str">
        <f>'CUMPLIMIENTO GUARDIAS'!J383</f>
        <v>C</v>
      </c>
      <c r="F383" s="34">
        <f>'CUMPLIMIENTO GUARDIAS'!I383</f>
        <v>1</v>
      </c>
      <c r="G383" t="str">
        <f>'CUMPLIMIENTO GUARDIAS'!E383</f>
        <v>C</v>
      </c>
      <c r="H383" t="str">
        <f>'CUMPLIMIENTO GUARDIAS'!F383</f>
        <v>C</v>
      </c>
      <c r="I383" t="str">
        <f>'CUMPLIMIENTO GUARDIAS'!G383</f>
        <v>C</v>
      </c>
      <c r="J383">
        <f>--(C383&lt;=MATCH('DASHBOARD AVANZADO'!$G$3,'DASHBOARD AVANZADO'!$Q$1:$Q$12,0))</f>
        <v>1</v>
      </c>
      <c r="K383">
        <f t="shared" si="5"/>
        <v>1</v>
      </c>
      <c r="L383">
        <v>383</v>
      </c>
    </row>
    <row r="384" spans="1:12" x14ac:dyDescent="0.25">
      <c r="A384" t="s">
        <v>73</v>
      </c>
      <c r="B384" t="s">
        <v>8</v>
      </c>
      <c r="C384">
        <v>3</v>
      </c>
      <c r="D384" t="s">
        <v>41</v>
      </c>
      <c r="E384" t="str">
        <f>'CUMPLIMIENTO GUARDIAS'!J384</f>
        <v>C</v>
      </c>
      <c r="F384" s="34">
        <f>'CUMPLIMIENTO GUARDIAS'!I384</f>
        <v>1</v>
      </c>
      <c r="G384" t="str">
        <f>'CUMPLIMIENTO GUARDIAS'!E384</f>
        <v>C</v>
      </c>
      <c r="H384" t="str">
        <f>'CUMPLIMIENTO GUARDIAS'!F384</f>
        <v>C</v>
      </c>
      <c r="I384" t="str">
        <f>'CUMPLIMIENTO GUARDIAS'!G384</f>
        <v>C</v>
      </c>
      <c r="J384">
        <f>--(C384&lt;=MATCH('DASHBOARD AVANZADO'!$G$3,'DASHBOARD AVANZADO'!$Q$1:$Q$12,0))</f>
        <v>1</v>
      </c>
      <c r="K384">
        <f t="shared" si="5"/>
        <v>1</v>
      </c>
      <c r="L384">
        <v>384</v>
      </c>
    </row>
    <row r="385" spans="1:12" x14ac:dyDescent="0.25">
      <c r="A385" t="s">
        <v>73</v>
      </c>
      <c r="B385" t="s">
        <v>8</v>
      </c>
      <c r="C385">
        <v>3</v>
      </c>
      <c r="D385" t="s">
        <v>42</v>
      </c>
      <c r="E385" t="str">
        <f>'CUMPLIMIENTO GUARDIAS'!J385</f>
        <v>C</v>
      </c>
      <c r="F385" s="34">
        <f>'CUMPLIMIENTO GUARDIAS'!I385</f>
        <v>1</v>
      </c>
      <c r="G385" t="str">
        <f>'CUMPLIMIENTO GUARDIAS'!E385</f>
        <v>C</v>
      </c>
      <c r="H385" t="str">
        <f>'CUMPLIMIENTO GUARDIAS'!F385</f>
        <v>C</v>
      </c>
      <c r="I385" t="str">
        <f>'CUMPLIMIENTO GUARDIAS'!G385</f>
        <v>C</v>
      </c>
      <c r="J385">
        <f>--(C385&lt;=MATCH('DASHBOARD AVANZADO'!$G$3,'DASHBOARD AVANZADO'!$Q$1:$Q$12,0))</f>
        <v>1</v>
      </c>
      <c r="K385">
        <f t="shared" si="5"/>
        <v>1</v>
      </c>
      <c r="L385">
        <v>385</v>
      </c>
    </row>
    <row r="386" spans="1:12" x14ac:dyDescent="0.25">
      <c r="A386" t="s">
        <v>73</v>
      </c>
      <c r="B386" t="s">
        <v>9</v>
      </c>
      <c r="C386">
        <v>4</v>
      </c>
      <c r="D386" t="s">
        <v>43</v>
      </c>
      <c r="E386" t="str">
        <f>'CUMPLIMIENTO GUARDIAS'!J386</f>
        <v>C</v>
      </c>
      <c r="F386" s="34">
        <f>'CUMPLIMIENTO GUARDIAS'!I386</f>
        <v>1</v>
      </c>
      <c r="G386" t="str">
        <f>'CUMPLIMIENTO GUARDIAS'!E386</f>
        <v>C</v>
      </c>
      <c r="H386" t="str">
        <f>'CUMPLIMIENTO GUARDIAS'!F386</f>
        <v>C</v>
      </c>
      <c r="I386" t="str">
        <f>'CUMPLIMIENTO GUARDIAS'!G386</f>
        <v>C</v>
      </c>
      <c r="J386">
        <f>--(C386&lt;=MATCH('DASHBOARD AVANZADO'!$G$3,'DASHBOARD AVANZADO'!$Q$1:$Q$12,0))</f>
        <v>1</v>
      </c>
      <c r="K386">
        <f t="shared" ref="K386:K406" si="6">IF(E386="C",1,0)</f>
        <v>1</v>
      </c>
      <c r="L386">
        <v>386</v>
      </c>
    </row>
    <row r="387" spans="1:12" x14ac:dyDescent="0.25">
      <c r="A387" t="s">
        <v>73</v>
      </c>
      <c r="B387" t="s">
        <v>9</v>
      </c>
      <c r="C387">
        <v>4</v>
      </c>
      <c r="D387" t="s">
        <v>44</v>
      </c>
      <c r="E387" t="str">
        <f>'CUMPLIMIENTO GUARDIAS'!J387</f>
        <v>C</v>
      </c>
      <c r="F387" s="34">
        <f>'CUMPLIMIENTO GUARDIAS'!I387</f>
        <v>1</v>
      </c>
      <c r="G387" t="str">
        <f>'CUMPLIMIENTO GUARDIAS'!E387</f>
        <v>C</v>
      </c>
      <c r="H387" t="str">
        <f>'CUMPLIMIENTO GUARDIAS'!F387</f>
        <v>C</v>
      </c>
      <c r="I387" t="str">
        <f>'CUMPLIMIENTO GUARDIAS'!G387</f>
        <v>C</v>
      </c>
      <c r="J387">
        <f>--(C387&lt;=MATCH('DASHBOARD AVANZADO'!$G$3,'DASHBOARD AVANZADO'!$Q$1:$Q$12,0))</f>
        <v>1</v>
      </c>
      <c r="K387">
        <f t="shared" si="6"/>
        <v>1</v>
      </c>
      <c r="L387">
        <v>387</v>
      </c>
    </row>
    <row r="388" spans="1:12" x14ac:dyDescent="0.25">
      <c r="A388" t="s">
        <v>73</v>
      </c>
      <c r="B388" t="s">
        <v>9</v>
      </c>
      <c r="C388">
        <v>4</v>
      </c>
      <c r="D388" t="s">
        <v>45</v>
      </c>
      <c r="E388" t="str">
        <f>'CUMPLIMIENTO GUARDIAS'!J388</f>
        <v>C</v>
      </c>
      <c r="F388" s="34">
        <f>'CUMPLIMIENTO GUARDIAS'!I388</f>
        <v>1</v>
      </c>
      <c r="G388" t="str">
        <f>'CUMPLIMIENTO GUARDIAS'!E388</f>
        <v>C</v>
      </c>
      <c r="H388" t="str">
        <f>'CUMPLIMIENTO GUARDIAS'!F388</f>
        <v>C</v>
      </c>
      <c r="I388" t="str">
        <f>'CUMPLIMIENTO GUARDIAS'!G388</f>
        <v>C</v>
      </c>
      <c r="J388">
        <f>--(C388&lt;=MATCH('DASHBOARD AVANZADO'!$G$3,'DASHBOARD AVANZADO'!$Q$1:$Q$12,0))</f>
        <v>1</v>
      </c>
      <c r="K388">
        <f t="shared" si="6"/>
        <v>1</v>
      </c>
      <c r="L388">
        <v>388</v>
      </c>
    </row>
    <row r="389" spans="1:12" x14ac:dyDescent="0.25">
      <c r="A389" t="s">
        <v>73</v>
      </c>
      <c r="B389" t="s">
        <v>10</v>
      </c>
      <c r="C389">
        <v>5</v>
      </c>
      <c r="D389" t="s">
        <v>46</v>
      </c>
      <c r="E389" t="str">
        <f>'CUMPLIMIENTO GUARDIAS'!J389</f>
        <v>C</v>
      </c>
      <c r="F389" s="34">
        <f>'CUMPLIMIENTO GUARDIAS'!I389</f>
        <v>1</v>
      </c>
      <c r="G389" t="str">
        <f>'CUMPLIMIENTO GUARDIAS'!E389</f>
        <v>C</v>
      </c>
      <c r="H389" t="str">
        <f>'CUMPLIMIENTO GUARDIAS'!F389</f>
        <v>C</v>
      </c>
      <c r="I389" t="str">
        <f>'CUMPLIMIENTO GUARDIAS'!G389</f>
        <v>C</v>
      </c>
      <c r="J389">
        <f>--(C389&lt;=MATCH('DASHBOARD AVANZADO'!$G$3,'DASHBOARD AVANZADO'!$Q$1:$Q$12,0))</f>
        <v>1</v>
      </c>
      <c r="K389">
        <f t="shared" si="6"/>
        <v>1</v>
      </c>
      <c r="L389">
        <v>389</v>
      </c>
    </row>
    <row r="390" spans="1:12" x14ac:dyDescent="0.25">
      <c r="A390" t="s">
        <v>73</v>
      </c>
      <c r="B390" t="s">
        <v>10</v>
      </c>
      <c r="C390">
        <v>5</v>
      </c>
      <c r="D390" t="s">
        <v>47</v>
      </c>
      <c r="E390" t="str">
        <f>'CUMPLIMIENTO GUARDIAS'!J390</f>
        <v>C</v>
      </c>
      <c r="F390" s="34">
        <f>'CUMPLIMIENTO GUARDIAS'!I390</f>
        <v>1</v>
      </c>
      <c r="G390" t="str">
        <f>'CUMPLIMIENTO GUARDIAS'!E390</f>
        <v>C</v>
      </c>
      <c r="H390" t="str">
        <f>'CUMPLIMIENTO GUARDIAS'!F390</f>
        <v>C</v>
      </c>
      <c r="I390" t="str">
        <f>'CUMPLIMIENTO GUARDIAS'!G390</f>
        <v>C</v>
      </c>
      <c r="J390">
        <f>--(C390&lt;=MATCH('DASHBOARD AVANZADO'!$G$3,'DASHBOARD AVANZADO'!$Q$1:$Q$12,0))</f>
        <v>1</v>
      </c>
      <c r="K390">
        <f t="shared" si="6"/>
        <v>1</v>
      </c>
      <c r="L390">
        <v>390</v>
      </c>
    </row>
    <row r="391" spans="1:12" x14ac:dyDescent="0.25">
      <c r="A391" t="s">
        <v>73</v>
      </c>
      <c r="B391" t="s">
        <v>11</v>
      </c>
      <c r="C391">
        <v>6</v>
      </c>
      <c r="D391" t="s">
        <v>20</v>
      </c>
      <c r="E391" t="str">
        <f>'CUMPLIMIENTO GUARDIAS'!J391</f>
        <v>C</v>
      </c>
      <c r="F391" s="34">
        <f>'CUMPLIMIENTO GUARDIAS'!I391</f>
        <v>1</v>
      </c>
      <c r="G391" t="str">
        <f>'CUMPLIMIENTO GUARDIAS'!E391</f>
        <v>C</v>
      </c>
      <c r="H391" t="str">
        <f>'CUMPLIMIENTO GUARDIAS'!F391</f>
        <v>C</v>
      </c>
      <c r="I391" t="str">
        <f>'CUMPLIMIENTO GUARDIAS'!G391</f>
        <v>C</v>
      </c>
      <c r="J391">
        <f>--(C391&lt;=MATCH('DASHBOARD AVANZADO'!$G$3,'DASHBOARD AVANZADO'!$Q$1:$Q$12,0))</f>
        <v>1</v>
      </c>
      <c r="K391">
        <f t="shared" si="6"/>
        <v>1</v>
      </c>
      <c r="L391">
        <v>391</v>
      </c>
    </row>
    <row r="392" spans="1:12" x14ac:dyDescent="0.25">
      <c r="A392" t="s">
        <v>73</v>
      </c>
      <c r="B392" t="s">
        <v>11</v>
      </c>
      <c r="C392">
        <v>6</v>
      </c>
      <c r="D392" t="s">
        <v>48</v>
      </c>
      <c r="E392" t="str">
        <f>'CUMPLIMIENTO GUARDIAS'!J392</f>
        <v>C</v>
      </c>
      <c r="F392" s="34">
        <f>'CUMPLIMIENTO GUARDIAS'!I392</f>
        <v>1</v>
      </c>
      <c r="G392" t="str">
        <f>'CUMPLIMIENTO GUARDIAS'!E392</f>
        <v>C</v>
      </c>
      <c r="H392" t="str">
        <f>'CUMPLIMIENTO GUARDIAS'!F392</f>
        <v>C</v>
      </c>
      <c r="I392" t="str">
        <f>'CUMPLIMIENTO GUARDIAS'!G392</f>
        <v>C</v>
      </c>
      <c r="J392">
        <f>--(C392&lt;=MATCH('DASHBOARD AVANZADO'!$G$3,'DASHBOARD AVANZADO'!$Q$1:$Q$12,0))</f>
        <v>1</v>
      </c>
      <c r="K392">
        <f t="shared" si="6"/>
        <v>1</v>
      </c>
      <c r="L392">
        <v>392</v>
      </c>
    </row>
    <row r="393" spans="1:12" x14ac:dyDescent="0.25">
      <c r="A393" t="s">
        <v>73</v>
      </c>
      <c r="B393" t="s">
        <v>11</v>
      </c>
      <c r="C393">
        <v>6</v>
      </c>
      <c r="D393" t="s">
        <v>49</v>
      </c>
      <c r="E393" t="str">
        <f>'CUMPLIMIENTO GUARDIAS'!J393</f>
        <v>F</v>
      </c>
      <c r="F393" s="34">
        <f>'CUMPLIMIENTO GUARDIAS'!I393</f>
        <v>0</v>
      </c>
      <c r="G393" t="str">
        <f>'CUMPLIMIENTO GUARDIAS'!E393</f>
        <v>F</v>
      </c>
      <c r="H393" t="str">
        <f>'CUMPLIMIENTO GUARDIAS'!F393</f>
        <v>F</v>
      </c>
      <c r="I393" t="str">
        <f>'CUMPLIMIENTO GUARDIAS'!G393</f>
        <v>F</v>
      </c>
      <c r="J393">
        <f>--(C393&lt;=MATCH('DASHBOARD AVANZADO'!$G$3,'DASHBOARD AVANZADO'!$Q$1:$Q$12,0))</f>
        <v>1</v>
      </c>
      <c r="K393">
        <f t="shared" si="6"/>
        <v>0</v>
      </c>
      <c r="L393">
        <v>393</v>
      </c>
    </row>
    <row r="394" spans="1:12" x14ac:dyDescent="0.25">
      <c r="A394" t="s">
        <v>73</v>
      </c>
      <c r="B394" t="s">
        <v>12</v>
      </c>
      <c r="C394">
        <v>7</v>
      </c>
      <c r="D394" t="s">
        <v>38</v>
      </c>
      <c r="E394" t="str">
        <f>'CUMPLIMIENTO GUARDIAS'!J394</f>
        <v>C</v>
      </c>
      <c r="F394" s="34">
        <f>'CUMPLIMIENTO GUARDIAS'!I394</f>
        <v>1</v>
      </c>
      <c r="G394" t="str">
        <f>'CUMPLIMIENTO GUARDIAS'!E394</f>
        <v>C</v>
      </c>
      <c r="H394" t="str">
        <f>'CUMPLIMIENTO GUARDIAS'!F394</f>
        <v>C</v>
      </c>
      <c r="I394" t="str">
        <f>'CUMPLIMIENTO GUARDIAS'!G394</f>
        <v>C</v>
      </c>
      <c r="J394">
        <f>--(C394&lt;=MATCH('DASHBOARD AVANZADO'!$G$3,'DASHBOARD AVANZADO'!$Q$1:$Q$12,0))</f>
        <v>1</v>
      </c>
      <c r="K394">
        <f t="shared" si="6"/>
        <v>1</v>
      </c>
      <c r="L394">
        <v>394</v>
      </c>
    </row>
    <row r="395" spans="1:12" x14ac:dyDescent="0.25">
      <c r="A395" t="s">
        <v>73</v>
      </c>
      <c r="B395" t="s">
        <v>12</v>
      </c>
      <c r="C395">
        <v>7</v>
      </c>
      <c r="D395" t="s">
        <v>87</v>
      </c>
      <c r="E395" t="str">
        <f>'CUMPLIMIENTO GUARDIAS'!J395</f>
        <v>F</v>
      </c>
      <c r="F395" s="34">
        <f>'CUMPLIMIENTO GUARDIAS'!I395</f>
        <v>0</v>
      </c>
      <c r="G395">
        <f>'CUMPLIMIENTO GUARDIAS'!E395</f>
        <v>0</v>
      </c>
      <c r="H395">
        <f>'CUMPLIMIENTO GUARDIAS'!F395</f>
        <v>0</v>
      </c>
      <c r="I395">
        <f>'CUMPLIMIENTO GUARDIAS'!G395</f>
        <v>0</v>
      </c>
      <c r="J395">
        <f>--(C395&lt;=MATCH('DASHBOARD AVANZADO'!$G$3,'DASHBOARD AVANZADO'!$Q$1:$Q$12,0))</f>
        <v>1</v>
      </c>
      <c r="K395">
        <f t="shared" si="6"/>
        <v>0</v>
      </c>
      <c r="L395">
        <v>395</v>
      </c>
    </row>
    <row r="396" spans="1:12" x14ac:dyDescent="0.25">
      <c r="A396" t="s">
        <v>73</v>
      </c>
      <c r="B396" t="s">
        <v>12</v>
      </c>
      <c r="C396">
        <v>7</v>
      </c>
      <c r="D396" t="s">
        <v>51</v>
      </c>
      <c r="E396" t="str">
        <f>'CUMPLIMIENTO GUARDIAS'!J396</f>
        <v>EP</v>
      </c>
      <c r="F396" s="34">
        <f>'CUMPLIMIENTO GUARDIAS'!I396</f>
        <v>0</v>
      </c>
      <c r="G396" t="str">
        <f>'CUMPLIMIENTO GUARDIAS'!E396</f>
        <v>EP</v>
      </c>
      <c r="H396" t="str">
        <f>'CUMPLIMIENTO GUARDIAS'!F396</f>
        <v>EP</v>
      </c>
      <c r="I396" t="str">
        <f>'CUMPLIMIENTO GUARDIAS'!G396</f>
        <v>EP</v>
      </c>
      <c r="J396">
        <f>--(C396&lt;=MATCH('DASHBOARD AVANZADO'!$G$3,'DASHBOARD AVANZADO'!$Q$1:$Q$12,0))</f>
        <v>1</v>
      </c>
      <c r="K396">
        <f t="shared" si="6"/>
        <v>0</v>
      </c>
      <c r="L396">
        <v>396</v>
      </c>
    </row>
    <row r="397" spans="1:12" x14ac:dyDescent="0.25">
      <c r="A397" t="s">
        <v>73</v>
      </c>
      <c r="B397" t="s">
        <v>13</v>
      </c>
      <c r="C397">
        <v>8</v>
      </c>
      <c r="D397" t="s">
        <v>52</v>
      </c>
      <c r="E397">
        <f>'CUMPLIMIENTO GUARDIAS'!J397</f>
        <v>0</v>
      </c>
      <c r="F397" s="34">
        <f>'CUMPLIMIENTO GUARDIAS'!I397</f>
        <v>0</v>
      </c>
      <c r="G397">
        <f>'CUMPLIMIENTO GUARDIAS'!E397</f>
        <v>0</v>
      </c>
      <c r="H397">
        <f>'CUMPLIMIENTO GUARDIAS'!F397</f>
        <v>0</v>
      </c>
      <c r="I397">
        <f>'CUMPLIMIENTO GUARDIAS'!G397</f>
        <v>0</v>
      </c>
      <c r="J397">
        <f>--(C397&lt;=MATCH('DASHBOARD AVANZADO'!$G$3,'DASHBOARD AVANZADO'!$Q$1:$Q$12,0))</f>
        <v>0</v>
      </c>
      <c r="K397">
        <f t="shared" si="6"/>
        <v>0</v>
      </c>
      <c r="L397">
        <v>397</v>
      </c>
    </row>
    <row r="398" spans="1:12" x14ac:dyDescent="0.25">
      <c r="A398" t="s">
        <v>73</v>
      </c>
      <c r="B398" t="s">
        <v>13</v>
      </c>
      <c r="C398">
        <v>8</v>
      </c>
      <c r="D398" t="s">
        <v>53</v>
      </c>
      <c r="E398">
        <f>'CUMPLIMIENTO GUARDIAS'!J398</f>
        <v>0</v>
      </c>
      <c r="F398" s="34">
        <f>'CUMPLIMIENTO GUARDIAS'!I398</f>
        <v>0</v>
      </c>
      <c r="G398">
        <f>'CUMPLIMIENTO GUARDIAS'!E398</f>
        <v>0</v>
      </c>
      <c r="H398">
        <f>'CUMPLIMIENTO GUARDIAS'!F398</f>
        <v>0</v>
      </c>
      <c r="I398">
        <f>'CUMPLIMIENTO GUARDIAS'!G398</f>
        <v>0</v>
      </c>
      <c r="J398">
        <f>--(C398&lt;=MATCH('DASHBOARD AVANZADO'!$G$3,'DASHBOARD AVANZADO'!$Q$1:$Q$12,0))</f>
        <v>0</v>
      </c>
      <c r="K398">
        <f t="shared" si="6"/>
        <v>0</v>
      </c>
      <c r="L398">
        <v>398</v>
      </c>
    </row>
    <row r="399" spans="1:12" x14ac:dyDescent="0.25">
      <c r="A399" t="s">
        <v>73</v>
      </c>
      <c r="B399" t="s">
        <v>13</v>
      </c>
      <c r="C399">
        <v>8</v>
      </c>
      <c r="D399" t="s">
        <v>54</v>
      </c>
      <c r="E399">
        <f>'CUMPLIMIENTO GUARDIAS'!J399</f>
        <v>0</v>
      </c>
      <c r="F399" s="34">
        <f>'CUMPLIMIENTO GUARDIAS'!I399</f>
        <v>0</v>
      </c>
      <c r="G399">
        <f>'CUMPLIMIENTO GUARDIAS'!E399</f>
        <v>0</v>
      </c>
      <c r="H399">
        <f>'CUMPLIMIENTO GUARDIAS'!F399</f>
        <v>0</v>
      </c>
      <c r="I399">
        <f>'CUMPLIMIENTO GUARDIAS'!G399</f>
        <v>0</v>
      </c>
      <c r="J399">
        <f>--(C399&lt;=MATCH('DASHBOARD AVANZADO'!$G$3,'DASHBOARD AVANZADO'!$Q$1:$Q$12,0))</f>
        <v>0</v>
      </c>
      <c r="K399">
        <f t="shared" si="6"/>
        <v>0</v>
      </c>
      <c r="L399">
        <v>399</v>
      </c>
    </row>
    <row r="400" spans="1:12" x14ac:dyDescent="0.25">
      <c r="A400" t="s">
        <v>73</v>
      </c>
      <c r="B400" t="s">
        <v>14</v>
      </c>
      <c r="C400">
        <v>9</v>
      </c>
      <c r="D400" t="s">
        <v>55</v>
      </c>
      <c r="E400">
        <f>'CUMPLIMIENTO GUARDIAS'!J400</f>
        <v>0</v>
      </c>
      <c r="F400" s="34">
        <f>'CUMPLIMIENTO GUARDIAS'!I400</f>
        <v>0</v>
      </c>
      <c r="G400">
        <f>'CUMPLIMIENTO GUARDIAS'!E400</f>
        <v>0</v>
      </c>
      <c r="H400">
        <f>'CUMPLIMIENTO GUARDIAS'!F400</f>
        <v>0</v>
      </c>
      <c r="I400">
        <f>'CUMPLIMIENTO GUARDIAS'!G400</f>
        <v>0</v>
      </c>
      <c r="J400">
        <f>--(C400&lt;=MATCH('DASHBOARD AVANZADO'!$G$3,'DASHBOARD AVANZADO'!$Q$1:$Q$12,0))</f>
        <v>0</v>
      </c>
      <c r="K400">
        <f t="shared" si="6"/>
        <v>0</v>
      </c>
      <c r="L400">
        <v>400</v>
      </c>
    </row>
    <row r="401" spans="1:12" x14ac:dyDescent="0.25">
      <c r="A401" t="s">
        <v>73</v>
      </c>
      <c r="B401" t="s">
        <v>14</v>
      </c>
      <c r="C401">
        <v>9</v>
      </c>
      <c r="D401" t="s">
        <v>56</v>
      </c>
      <c r="E401">
        <f>'CUMPLIMIENTO GUARDIAS'!J401</f>
        <v>0</v>
      </c>
      <c r="F401" s="34">
        <f>'CUMPLIMIENTO GUARDIAS'!I401</f>
        <v>0</v>
      </c>
      <c r="G401">
        <f>'CUMPLIMIENTO GUARDIAS'!E401</f>
        <v>0</v>
      </c>
      <c r="H401">
        <f>'CUMPLIMIENTO GUARDIAS'!F401</f>
        <v>0</v>
      </c>
      <c r="I401">
        <f>'CUMPLIMIENTO GUARDIAS'!G401</f>
        <v>0</v>
      </c>
      <c r="J401">
        <f>--(C401&lt;=MATCH('DASHBOARD AVANZADO'!$G$3,'DASHBOARD AVANZADO'!$Q$1:$Q$12,0))</f>
        <v>0</v>
      </c>
      <c r="K401">
        <f t="shared" si="6"/>
        <v>0</v>
      </c>
      <c r="L401">
        <v>401</v>
      </c>
    </row>
    <row r="402" spans="1:12" x14ac:dyDescent="0.25">
      <c r="A402" t="s">
        <v>73</v>
      </c>
      <c r="B402" t="s">
        <v>15</v>
      </c>
      <c r="C402">
        <v>10</v>
      </c>
      <c r="D402" t="s">
        <v>20</v>
      </c>
      <c r="E402">
        <f>'CUMPLIMIENTO GUARDIAS'!J402</f>
        <v>0</v>
      </c>
      <c r="F402" s="34">
        <f>'CUMPLIMIENTO GUARDIAS'!I402</f>
        <v>0</v>
      </c>
      <c r="G402">
        <f>'CUMPLIMIENTO GUARDIAS'!E402</f>
        <v>0</v>
      </c>
      <c r="H402">
        <f>'CUMPLIMIENTO GUARDIAS'!F402</f>
        <v>0</v>
      </c>
      <c r="I402">
        <f>'CUMPLIMIENTO GUARDIAS'!G402</f>
        <v>0</v>
      </c>
      <c r="J402">
        <f>--(C402&lt;=MATCH('DASHBOARD AVANZADO'!$G$3,'DASHBOARD AVANZADO'!$Q$1:$Q$12,0))</f>
        <v>0</v>
      </c>
      <c r="K402">
        <f t="shared" si="6"/>
        <v>0</v>
      </c>
      <c r="L402">
        <v>402</v>
      </c>
    </row>
    <row r="403" spans="1:12" x14ac:dyDescent="0.25">
      <c r="A403" t="s">
        <v>73</v>
      </c>
      <c r="B403" t="s">
        <v>15</v>
      </c>
      <c r="C403">
        <v>10</v>
      </c>
      <c r="D403" t="s">
        <v>42</v>
      </c>
      <c r="E403">
        <f>'CUMPLIMIENTO GUARDIAS'!J403</f>
        <v>0</v>
      </c>
      <c r="F403" s="34">
        <f>'CUMPLIMIENTO GUARDIAS'!I403</f>
        <v>0</v>
      </c>
      <c r="G403">
        <f>'CUMPLIMIENTO GUARDIAS'!E403</f>
        <v>0</v>
      </c>
      <c r="H403">
        <f>'CUMPLIMIENTO GUARDIAS'!F403</f>
        <v>0</v>
      </c>
      <c r="I403">
        <f>'CUMPLIMIENTO GUARDIAS'!G403</f>
        <v>0</v>
      </c>
      <c r="J403">
        <f>--(C403&lt;=MATCH('DASHBOARD AVANZADO'!$G$3,'DASHBOARD AVANZADO'!$Q$1:$Q$12,0))</f>
        <v>0</v>
      </c>
      <c r="K403">
        <f t="shared" si="6"/>
        <v>0</v>
      </c>
      <c r="L403">
        <v>403</v>
      </c>
    </row>
    <row r="404" spans="1:12" x14ac:dyDescent="0.25">
      <c r="A404" t="s">
        <v>73</v>
      </c>
      <c r="B404" t="s">
        <v>16</v>
      </c>
      <c r="C404">
        <v>11</v>
      </c>
      <c r="D404" t="s">
        <v>57</v>
      </c>
      <c r="E404">
        <f>'CUMPLIMIENTO GUARDIAS'!J404</f>
        <v>0</v>
      </c>
      <c r="F404" s="34">
        <f>'CUMPLIMIENTO GUARDIAS'!I404</f>
        <v>0</v>
      </c>
      <c r="G404">
        <f>'CUMPLIMIENTO GUARDIAS'!E404</f>
        <v>0</v>
      </c>
      <c r="H404">
        <f>'CUMPLIMIENTO GUARDIAS'!F404</f>
        <v>0</v>
      </c>
      <c r="I404">
        <f>'CUMPLIMIENTO GUARDIAS'!G404</f>
        <v>0</v>
      </c>
      <c r="J404">
        <f>--(C404&lt;=MATCH('DASHBOARD AVANZADO'!$G$3,'DASHBOARD AVANZADO'!$Q$1:$Q$12,0))</f>
        <v>0</v>
      </c>
      <c r="K404">
        <f t="shared" si="6"/>
        <v>0</v>
      </c>
      <c r="L404">
        <v>404</v>
      </c>
    </row>
    <row r="405" spans="1:12" x14ac:dyDescent="0.25">
      <c r="A405" t="s">
        <v>73</v>
      </c>
      <c r="B405" t="s">
        <v>16</v>
      </c>
      <c r="C405">
        <v>11</v>
      </c>
      <c r="D405" t="s">
        <v>39</v>
      </c>
      <c r="E405">
        <f>'CUMPLIMIENTO GUARDIAS'!J405</f>
        <v>0</v>
      </c>
      <c r="F405" s="34">
        <f>'CUMPLIMIENTO GUARDIAS'!I405</f>
        <v>0</v>
      </c>
      <c r="G405">
        <f>'CUMPLIMIENTO GUARDIAS'!E405</f>
        <v>0</v>
      </c>
      <c r="H405">
        <f>'CUMPLIMIENTO GUARDIAS'!F405</f>
        <v>0</v>
      </c>
      <c r="I405">
        <f>'CUMPLIMIENTO GUARDIAS'!G405</f>
        <v>0</v>
      </c>
      <c r="J405">
        <f>--(C405&lt;=MATCH('DASHBOARD AVANZADO'!$G$3,'DASHBOARD AVANZADO'!$Q$1:$Q$12,0))</f>
        <v>0</v>
      </c>
      <c r="K405">
        <f t="shared" si="6"/>
        <v>0</v>
      </c>
      <c r="L405">
        <v>405</v>
      </c>
    </row>
    <row r="406" spans="1:12" x14ac:dyDescent="0.25">
      <c r="A406" t="s">
        <v>73</v>
      </c>
      <c r="B406" t="s">
        <v>17</v>
      </c>
      <c r="C406">
        <v>12</v>
      </c>
      <c r="D406" t="s">
        <v>38</v>
      </c>
      <c r="E406">
        <f>'CUMPLIMIENTO GUARDIAS'!J406</f>
        <v>0</v>
      </c>
      <c r="F406" s="34">
        <f>'CUMPLIMIENTO GUARDIAS'!I406</f>
        <v>0</v>
      </c>
      <c r="G406">
        <f>'CUMPLIMIENTO GUARDIAS'!E406</f>
        <v>0</v>
      </c>
      <c r="H406">
        <f>'CUMPLIMIENTO GUARDIAS'!F406</f>
        <v>0</v>
      </c>
      <c r="I406">
        <f>'CUMPLIMIENTO GUARDIAS'!G406</f>
        <v>0</v>
      </c>
      <c r="J406">
        <f>--(C406&lt;=MATCH('DASHBOARD AVANZADO'!$G$3,'DASHBOARD AVANZADO'!$Q$1:$Q$12,0))</f>
        <v>0</v>
      </c>
      <c r="K406">
        <f t="shared" si="6"/>
        <v>0</v>
      </c>
      <c r="L406">
        <v>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9"/>
  <sheetViews>
    <sheetView tabSelected="1" workbookViewId="0">
      <selection activeCell="F21" sqref="F21"/>
    </sheetView>
  </sheetViews>
  <sheetFormatPr baseColWidth="10" defaultColWidth="9.140625" defaultRowHeight="15" x14ac:dyDescent="0.25"/>
  <cols>
    <col min="1" max="1" width="13" customWidth="1"/>
    <col min="2" max="2" width="48" customWidth="1"/>
    <col min="3" max="3" width="12" customWidth="1"/>
    <col min="4" max="4" width="13" customWidth="1"/>
    <col min="5" max="5" width="11" customWidth="1"/>
    <col min="6" max="6" width="13.42578125" customWidth="1"/>
    <col min="7" max="7" width="11" customWidth="1"/>
    <col min="8" max="9" width="3" customWidth="1"/>
    <col min="10" max="10" width="38" customWidth="1"/>
    <col min="11" max="11" width="12" customWidth="1"/>
    <col min="12" max="14" width="11" customWidth="1"/>
    <col min="15" max="15" width="3" customWidth="1"/>
    <col min="16" max="16" width="22.42578125" bestFit="1" customWidth="1"/>
    <col min="17" max="17" width="11.7109375" bestFit="1" customWidth="1"/>
  </cols>
  <sheetData>
    <row r="1" spans="1:19" ht="32.1" customHeight="1" x14ac:dyDescent="0.25">
      <c r="A1" s="81" t="s">
        <v>105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P1" s="116" t="s">
        <v>58</v>
      </c>
      <c r="Q1" s="116" t="s">
        <v>6</v>
      </c>
      <c r="R1" s="116" t="s">
        <v>94</v>
      </c>
      <c r="S1" s="116" t="s">
        <v>95</v>
      </c>
    </row>
    <row r="2" spans="1:19" x14ac:dyDescent="0.25">
      <c r="P2" s="116" t="s">
        <v>60</v>
      </c>
      <c r="Q2" s="116" t="s">
        <v>7</v>
      </c>
      <c r="R2" s="116" t="s">
        <v>92</v>
      </c>
      <c r="S2" s="116">
        <f>C7</f>
        <v>14</v>
      </c>
    </row>
    <row r="3" spans="1:19" x14ac:dyDescent="0.25">
      <c r="A3" s="37" t="s">
        <v>90</v>
      </c>
      <c r="B3" s="82" t="s">
        <v>58</v>
      </c>
      <c r="C3" s="82"/>
      <c r="D3" s="82"/>
      <c r="F3" s="37" t="s">
        <v>106</v>
      </c>
      <c r="G3" s="82" t="s">
        <v>12</v>
      </c>
      <c r="H3" s="82"/>
      <c r="J3" s="37" t="s">
        <v>107</v>
      </c>
      <c r="K3" s="82" t="s">
        <v>108</v>
      </c>
      <c r="L3" s="82"/>
      <c r="M3" s="82"/>
      <c r="N3" s="82"/>
      <c r="P3" s="116" t="s">
        <v>61</v>
      </c>
      <c r="Q3" s="116" t="s">
        <v>8</v>
      </c>
      <c r="R3" s="116" t="s">
        <v>97</v>
      </c>
      <c r="S3" s="116">
        <f>E7</f>
        <v>2</v>
      </c>
    </row>
    <row r="4" spans="1:19" x14ac:dyDescent="0.25">
      <c r="P4" s="116" t="s">
        <v>88</v>
      </c>
      <c r="Q4" s="116" t="s">
        <v>9</v>
      </c>
      <c r="R4" s="116" t="s">
        <v>93</v>
      </c>
      <c r="S4" s="116">
        <f>G7</f>
        <v>1</v>
      </c>
    </row>
    <row r="5" spans="1:19" x14ac:dyDescent="0.25">
      <c r="P5" s="116" t="s">
        <v>63</v>
      </c>
      <c r="Q5" s="116" t="s">
        <v>10</v>
      </c>
      <c r="R5" s="116"/>
      <c r="S5" s="116"/>
    </row>
    <row r="6" spans="1:19" x14ac:dyDescent="0.25">
      <c r="A6" s="83" t="s">
        <v>109</v>
      </c>
      <c r="B6" s="83"/>
      <c r="C6" s="83" t="s">
        <v>92</v>
      </c>
      <c r="D6" s="83"/>
      <c r="E6" s="83" t="s">
        <v>97</v>
      </c>
      <c r="F6" s="83"/>
      <c r="G6" s="83" t="s">
        <v>93</v>
      </c>
      <c r="H6" s="83"/>
      <c r="I6" s="83" t="s">
        <v>110</v>
      </c>
      <c r="J6" s="83"/>
      <c r="K6" s="83"/>
      <c r="L6" s="83"/>
      <c r="M6" s="83"/>
      <c r="N6" s="83"/>
      <c r="P6" s="116" t="s">
        <v>64</v>
      </c>
      <c r="Q6" s="116" t="s">
        <v>11</v>
      </c>
      <c r="R6" s="116"/>
      <c r="S6" s="116"/>
    </row>
    <row r="7" spans="1:19" x14ac:dyDescent="0.25">
      <c r="A7" s="84">
        <f>COUNTIFS('MAPEO TEMAS'!$A$2:$A$406,$B$3,'MAPEO TEMAS'!$C$2:$C$406,"&lt;="&amp;MATCH($G$3,$Q$1:$Q$12,0))</f>
        <v>17</v>
      </c>
      <c r="B7" s="84"/>
      <c r="C7" s="85">
        <f>COUNTIFS('MAPEO TEMAS'!$A$2:$A$406,$B$3,'MAPEO TEMAS'!$C$2:$C$406,"&lt;="&amp;MATCH($G$3,$Q$1:$Q$12,0),'MAPEO TEMAS'!$E$2:$E$406,"C")</f>
        <v>14</v>
      </c>
      <c r="D7" s="85"/>
      <c r="E7" s="86">
        <f>COUNTIFS('MAPEO TEMAS'!$A$2:$A$406,$B$3,'MAPEO TEMAS'!$C$2:$C$406,"&lt;="&amp;MATCH($G$3,$Q$1:$Q$12,0),'MAPEO TEMAS'!$E$2:$E$406,"F")</f>
        <v>2</v>
      </c>
      <c r="F7" s="86"/>
      <c r="G7" s="87">
        <f>COUNTIFS('MAPEO TEMAS'!$A$2:$A$406,$B$3,'MAPEO TEMAS'!$C$2:$C$406,"&lt;="&amp;MATCH($G$3,$Q$1:$Q$12,0),'MAPEO TEMAS'!$E$2:$E$406,"EP")</f>
        <v>1</v>
      </c>
      <c r="H7" s="87"/>
      <c r="I7" s="88">
        <f>IFERROR(C7/A7,0)</f>
        <v>0.82352941176470584</v>
      </c>
      <c r="J7" s="89"/>
      <c r="K7" s="89"/>
      <c r="L7" s="89"/>
      <c r="M7" s="89"/>
      <c r="N7" s="89"/>
      <c r="P7" s="116" t="s">
        <v>65</v>
      </c>
      <c r="Q7" s="116" t="s">
        <v>12</v>
      </c>
      <c r="R7" s="116"/>
      <c r="S7" s="116"/>
    </row>
    <row r="8" spans="1:19" x14ac:dyDescent="0.25">
      <c r="A8" s="84"/>
      <c r="B8" s="84"/>
      <c r="C8" s="85"/>
      <c r="D8" s="85"/>
      <c r="E8" s="86"/>
      <c r="F8" s="86"/>
      <c r="G8" s="87"/>
      <c r="H8" s="87"/>
      <c r="I8" s="89"/>
      <c r="J8" s="89"/>
      <c r="K8" s="89"/>
      <c r="L8" s="89"/>
      <c r="M8" s="89"/>
      <c r="N8" s="89"/>
      <c r="P8" s="116" t="s">
        <v>66</v>
      </c>
      <c r="Q8" s="116" t="s">
        <v>13</v>
      </c>
      <c r="R8" s="116"/>
      <c r="S8" s="116"/>
    </row>
    <row r="9" spans="1:19" x14ac:dyDescent="0.25">
      <c r="P9" s="116" t="s">
        <v>67</v>
      </c>
      <c r="Q9" s="116" t="s">
        <v>14</v>
      </c>
      <c r="R9" s="116"/>
      <c r="S9" s="116"/>
    </row>
    <row r="10" spans="1:19" x14ac:dyDescent="0.25">
      <c r="A10" s="90" t="s">
        <v>111</v>
      </c>
      <c r="B10" s="90"/>
      <c r="C10" s="90"/>
      <c r="D10" s="90" t="s">
        <v>112</v>
      </c>
      <c r="E10" s="90"/>
      <c r="F10" s="90"/>
      <c r="G10" s="90" t="s">
        <v>113</v>
      </c>
      <c r="H10" s="90"/>
      <c r="I10" s="90"/>
      <c r="J10" s="90" t="s">
        <v>114</v>
      </c>
      <c r="K10" s="90"/>
      <c r="L10" s="90"/>
      <c r="M10" s="90"/>
      <c r="N10" s="90"/>
      <c r="P10" s="116" t="s">
        <v>68</v>
      </c>
      <c r="Q10" s="116" t="s">
        <v>15</v>
      </c>
      <c r="R10" s="116"/>
      <c r="S10" s="116"/>
    </row>
    <row r="11" spans="1:19" x14ac:dyDescent="0.25">
      <c r="A11" s="91">
        <f>A7/27</f>
        <v>0.62962962962962965</v>
      </c>
      <c r="B11" s="92"/>
      <c r="C11" s="92"/>
      <c r="D11" s="91">
        <f>C7/27</f>
        <v>0.51851851851851849</v>
      </c>
      <c r="E11" s="92"/>
      <c r="F11" s="92"/>
      <c r="G11" s="91">
        <f>IFERROR(AVERAGEIFS('MAPEO TEMAS'!$F$2:$F$406,'MAPEO TEMAS'!$A$2:$A$406,$B$3,'MAPEO TEMAS'!$C$2:$C$406,"&lt;="&amp;MATCH($G$3,$Q$1:$Q$12,0)),0)</f>
        <v>0.82352941176470584</v>
      </c>
      <c r="H11" s="92"/>
      <c r="I11" s="92"/>
      <c r="J11" s="91">
        <f>I7-1</f>
        <v>-0.17647058823529416</v>
      </c>
      <c r="K11" s="92"/>
      <c r="L11" s="92"/>
      <c r="M11" s="92"/>
      <c r="N11" s="92"/>
      <c r="P11" s="116" t="s">
        <v>69</v>
      </c>
      <c r="Q11" s="116" t="s">
        <v>16</v>
      </c>
      <c r="R11" s="116"/>
      <c r="S11" s="116"/>
    </row>
    <row r="12" spans="1:19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P12" s="116" t="s">
        <v>70</v>
      </c>
      <c r="Q12" s="116" t="s">
        <v>17</v>
      </c>
      <c r="R12" s="116"/>
      <c r="S12" s="116"/>
    </row>
    <row r="13" spans="1:19" x14ac:dyDescent="0.25">
      <c r="P13" s="116" t="s">
        <v>71</v>
      </c>
      <c r="Q13" s="116"/>
      <c r="R13" s="116"/>
      <c r="S13" s="116"/>
    </row>
    <row r="14" spans="1:19" x14ac:dyDescent="0.25">
      <c r="A14" s="93" t="s">
        <v>115</v>
      </c>
      <c r="B14" s="93"/>
      <c r="C14" s="93"/>
      <c r="D14" s="93"/>
      <c r="E14" s="93"/>
      <c r="F14" s="93"/>
      <c r="G14" s="93"/>
      <c r="H14" s="93"/>
      <c r="J14" s="94" t="s">
        <v>116</v>
      </c>
      <c r="K14" s="94"/>
      <c r="L14" s="94"/>
      <c r="M14" s="94"/>
      <c r="N14" s="94"/>
      <c r="P14" s="116" t="s">
        <v>72</v>
      </c>
      <c r="Q14" s="116"/>
      <c r="R14" s="116"/>
      <c r="S14" s="116"/>
    </row>
    <row r="15" spans="1:19" ht="45" x14ac:dyDescent="0.25">
      <c r="A15" s="38" t="s">
        <v>78</v>
      </c>
      <c r="B15" s="38" t="s">
        <v>80</v>
      </c>
      <c r="C15" s="38" t="s">
        <v>94</v>
      </c>
      <c r="D15" s="38" t="s">
        <v>101</v>
      </c>
      <c r="E15" s="38" t="s">
        <v>81</v>
      </c>
      <c r="F15" s="38" t="s">
        <v>82</v>
      </c>
      <c r="G15" s="38" t="s">
        <v>83</v>
      </c>
      <c r="H15" s="38" t="s">
        <v>117</v>
      </c>
      <c r="I15" s="39"/>
      <c r="J15" s="38" t="s">
        <v>118</v>
      </c>
      <c r="K15" s="38" t="s">
        <v>74</v>
      </c>
      <c r="L15" s="38" t="s">
        <v>75</v>
      </c>
      <c r="M15" s="38" t="s">
        <v>76</v>
      </c>
      <c r="N15" s="38" t="s">
        <v>100</v>
      </c>
      <c r="P15" s="116" t="s">
        <v>73</v>
      </c>
      <c r="Q15" s="116"/>
      <c r="R15" s="116"/>
      <c r="S15" s="116"/>
    </row>
    <row r="16" spans="1:19" x14ac:dyDescent="0.25">
      <c r="A16" s="39" t="str">
        <f ca="1">IF($H16="","",INDEX('MAPEO TEMAS'!$B$2:$B$406,$H16))</f>
        <v/>
      </c>
      <c r="B16" s="40" t="str">
        <f ca="1">IF($H16="","",INDEX('MAPEO TEMAS'!$D$2:$D$406,$H16))</f>
        <v/>
      </c>
      <c r="C16" s="39" t="str">
        <f ca="1">IF($H16="","",INDEX('MAPEO TEMAS'!$E$2:$E$406,$H16))</f>
        <v/>
      </c>
      <c r="D16" s="41" t="str">
        <f ca="1">IF($H16="","",INDEX('MAPEO TEMAS'!$F$2:$F$406,$H16))</f>
        <v/>
      </c>
      <c r="E16" s="39" t="str">
        <f ca="1">IF($H16="","",INDEX('MAPEO TEMAS'!$G$2:$G$406,$H16))</f>
        <v/>
      </c>
      <c r="F16" s="39" t="str">
        <f ca="1">IF($H16="","",INDEX('MAPEO TEMAS'!$H$2:$H$406,$H16))</f>
        <v/>
      </c>
      <c r="G16" s="39" t="str">
        <f ca="1">IF($H16="","",INDEX('MAPEO TEMAS'!$I$2:$I$406,$H16))</f>
        <v/>
      </c>
      <c r="H16" s="39" t="str">
        <f ca="1">IFERROR(_xludf.AGGREGATE(15,6,(ROW('MAPEO TEMAS'!$A$2:$A$406)-1)/(('MAPEO TEMAS'!$A$2:$A$406=$B$3)*('MAPEO TEMAS'!$C$2:$C$406&lt;=MATCH($G$3,$Q$1:$Q$12,0))*(('MAPEO TEMAS'!$E$2:$E$406="F")+('MAPEO TEMAS'!$E$2:$E$406="EP"))),ROWS($H$16:H16)),"")</f>
        <v/>
      </c>
      <c r="I16" s="39"/>
      <c r="J16" s="39" t="s">
        <v>81</v>
      </c>
      <c r="K16" s="39">
        <f>COUNTIFS('MAPEO TEMAS'!$A$2:$A$406,$B$3,'MAPEO TEMAS'!$C$2:$C$406,"&lt;="&amp;MATCH($G$3,$Q$1:$Q$12,0),'MAPEO TEMAS'!$G$2:$G$406,"C")</f>
        <v>14</v>
      </c>
      <c r="L16" s="39">
        <f>COUNTIFS('MAPEO TEMAS'!$A$2:$A$406,$B$3,'MAPEO TEMAS'!$C$2:$C$406,"&lt;="&amp;MATCH($G$3,$Q$1:$Q$12,0),'MAPEO TEMAS'!$G$2:$G$406,"F")</f>
        <v>1</v>
      </c>
      <c r="M16" s="39">
        <f>COUNTIFS('MAPEO TEMAS'!$A$2:$A$406,$B$3,'MAPEO TEMAS'!$C$2:$C$406,"&lt;="&amp;MATCH($G$3,$Q$1:$Q$12,0),'MAPEO TEMAS'!$G$2:$G$406,"EP")</f>
        <v>1</v>
      </c>
      <c r="N16" s="41">
        <f>IFERROR(K16/$A$7,0)</f>
        <v>0.82352941176470584</v>
      </c>
    </row>
    <row r="17" spans="1:15" x14ac:dyDescent="0.25">
      <c r="A17" s="39" t="str">
        <f ca="1">IF($H17="","",INDEX('MAPEO TEMAS'!$B$2:$B$406,$H17))</f>
        <v/>
      </c>
      <c r="B17" s="40" t="str">
        <f ca="1">IF($H17="","",INDEX('MAPEO TEMAS'!$D$2:$D$406,$H17))</f>
        <v/>
      </c>
      <c r="C17" s="39" t="str">
        <f ca="1">IF($H17="","",INDEX('MAPEO TEMAS'!$E$2:$E$406,$H17))</f>
        <v/>
      </c>
      <c r="D17" s="41" t="str">
        <f ca="1">IF($H17="","",INDEX('MAPEO TEMAS'!$F$2:$F$406,$H17))</f>
        <v/>
      </c>
      <c r="E17" s="39" t="str">
        <f ca="1">IF($H17="","",INDEX('MAPEO TEMAS'!$G$2:$G$406,$H17))</f>
        <v/>
      </c>
      <c r="F17" s="39" t="str">
        <f ca="1">IF($H17="","",INDEX('MAPEO TEMAS'!$H$2:$H$406,$H17))</f>
        <v/>
      </c>
      <c r="G17" s="39" t="str">
        <f ca="1">IF($H17="","",INDEX('MAPEO TEMAS'!$I$2:$I$406,$H17))</f>
        <v/>
      </c>
      <c r="H17" s="39" t="str">
        <f ca="1">IFERROR(_xludf.AGGREGATE(15,6,(ROW('MAPEO TEMAS'!$A$2:$A$406)-1)/(('MAPEO TEMAS'!$A$2:$A$406=$B$3)*('MAPEO TEMAS'!$C$2:$C$406&lt;=MATCH($G$3,$Q$1:$Q$12,0))*(('MAPEO TEMAS'!$E$2:$E$406="F")+('MAPEO TEMAS'!$E$2:$E$406="EP"))),ROWS($H$16:H17)),"")</f>
        <v/>
      </c>
      <c r="I17" s="39"/>
      <c r="J17" s="39" t="s">
        <v>82</v>
      </c>
      <c r="K17" s="39">
        <f>COUNTIFS('MAPEO TEMAS'!$A$2:$A$406,$B$3,'MAPEO TEMAS'!$C$2:$C$406,"&lt;="&amp;MATCH($G$3,$Q$1:$Q$12,0),'MAPEO TEMAS'!$H$2:$H$406,"C")</f>
        <v>14</v>
      </c>
      <c r="L17" s="39">
        <f>COUNTIFS('MAPEO TEMAS'!$A$2:$A$406,$B$3,'MAPEO TEMAS'!$C$2:$C$406,"&lt;="&amp;MATCH($G$3,$Q$1:$Q$12,0),'MAPEO TEMAS'!$H$2:$H$406,"F")</f>
        <v>1</v>
      </c>
      <c r="M17" s="39">
        <f>COUNTIFS('MAPEO TEMAS'!$A$2:$A$406,$B$3,'MAPEO TEMAS'!$C$2:$C$406,"&lt;="&amp;MATCH($G$3,$Q$1:$Q$12,0),'MAPEO TEMAS'!$H$2:$H$406,"EP")</f>
        <v>1</v>
      </c>
      <c r="N17" s="41">
        <f>IFERROR(K17/$A$7,0)</f>
        <v>0.82352941176470584</v>
      </c>
    </row>
    <row r="18" spans="1:15" x14ac:dyDescent="0.25">
      <c r="A18" s="39" t="str">
        <f ca="1">IF($H18="","",INDEX('MAPEO TEMAS'!$B$2:$B$406,$H18))</f>
        <v/>
      </c>
      <c r="B18" s="40" t="str">
        <f ca="1">IF($H18="","",INDEX('MAPEO TEMAS'!$D$2:$D$406,$H18))</f>
        <v/>
      </c>
      <c r="C18" s="39" t="str">
        <f ca="1">IF($H18="","",INDEX('MAPEO TEMAS'!$E$2:$E$406,$H18))</f>
        <v/>
      </c>
      <c r="D18" s="41" t="str">
        <f ca="1">IF($H18="","",INDEX('MAPEO TEMAS'!$F$2:$F$406,$H18))</f>
        <v/>
      </c>
      <c r="E18" s="39" t="str">
        <f ca="1">IF($H18="","",INDEX('MAPEO TEMAS'!$G$2:$G$406,$H18))</f>
        <v/>
      </c>
      <c r="F18" s="39" t="str">
        <f ca="1">IF($H18="","",INDEX('MAPEO TEMAS'!$H$2:$H$406,$H18))</f>
        <v/>
      </c>
      <c r="G18" s="39" t="str">
        <f ca="1">IF($H18="","",INDEX('MAPEO TEMAS'!$I$2:$I$406,$H18))</f>
        <v/>
      </c>
      <c r="H18" s="39" t="str">
        <f ca="1">IFERROR(_xludf.AGGREGATE(15,6,(ROW('MAPEO TEMAS'!$A$2:$A$406)-1)/(('MAPEO TEMAS'!$A$2:$A$406=$B$3)*('MAPEO TEMAS'!$C$2:$C$406&lt;=MATCH($G$3,$Q$1:$Q$12,0))*(('MAPEO TEMAS'!$E$2:$E$406="F")+('MAPEO TEMAS'!$E$2:$E$406="EP"))),ROWS($H$16:H18)),"")</f>
        <v/>
      </c>
      <c r="I18" s="39"/>
      <c r="J18" s="39" t="s">
        <v>83</v>
      </c>
      <c r="K18" s="39">
        <f>COUNTIFS('MAPEO TEMAS'!$A$2:$A$406,$B$3,'MAPEO TEMAS'!$C$2:$C$406,"&lt;="&amp;MATCH($G$3,$Q$1:$Q$12,0),'MAPEO TEMAS'!$I$2:$I$406,"C")</f>
        <v>14</v>
      </c>
      <c r="L18" s="39">
        <f>COUNTIFS('MAPEO TEMAS'!$A$2:$A$406,$B$3,'MAPEO TEMAS'!$C$2:$C$406,"&lt;="&amp;MATCH($G$3,$Q$1:$Q$12,0),'MAPEO TEMAS'!$I$2:$I$406,"F")</f>
        <v>1</v>
      </c>
      <c r="M18" s="39">
        <f>COUNTIFS('MAPEO TEMAS'!$A$2:$A$406,$B$3,'MAPEO TEMAS'!$C$2:$C$406,"&lt;="&amp;MATCH($G$3,$Q$1:$Q$12,0),'MAPEO TEMAS'!$I$2:$I$406,"EP")</f>
        <v>1</v>
      </c>
      <c r="N18" s="41">
        <f>IFERROR(K18/$A$7,0)</f>
        <v>0.82352941176470584</v>
      </c>
    </row>
    <row r="19" spans="1:15" x14ac:dyDescent="0.25">
      <c r="A19" s="39" t="str">
        <f ca="1">IF($H19="","",INDEX('MAPEO TEMAS'!$B$2:$B$406,$H19))</f>
        <v/>
      </c>
      <c r="B19" s="40" t="str">
        <f ca="1">IF($H19="","",INDEX('MAPEO TEMAS'!$D$2:$D$406,$H19))</f>
        <v/>
      </c>
      <c r="C19" s="39" t="str">
        <f ca="1">IF($H19="","",INDEX('MAPEO TEMAS'!$E$2:$E$406,$H19))</f>
        <v/>
      </c>
      <c r="D19" s="41" t="str">
        <f ca="1">IF($H19="","",INDEX('MAPEO TEMAS'!$F$2:$F$406,$H19))</f>
        <v/>
      </c>
      <c r="E19" s="39" t="str">
        <f ca="1">IF($H19="","",INDEX('MAPEO TEMAS'!$G$2:$G$406,$H19))</f>
        <v/>
      </c>
      <c r="F19" s="39" t="str">
        <f ca="1">IF($H19="","",INDEX('MAPEO TEMAS'!$H$2:$H$406,$H19))</f>
        <v/>
      </c>
      <c r="G19" s="39" t="str">
        <f ca="1">IF($H19="","",INDEX('MAPEO TEMAS'!$I$2:$I$406,$H19))</f>
        <v/>
      </c>
      <c r="H19" s="39" t="str">
        <f ca="1">IFERROR(_xludf.AGGREGATE(15,6,(ROW('MAPEO TEMAS'!$A$2:$A$406)-1)/(('MAPEO TEMAS'!$A$2:$A$406=$B$3)*('MAPEO TEMAS'!$C$2:$C$406&lt;=MATCH($G$3,$Q$1:$Q$12,0))*(('MAPEO TEMAS'!$E$2:$E$406="F")+('MAPEO TEMAS'!$E$2:$E$406="EP"))),ROWS($H$16:H19)),"")</f>
        <v/>
      </c>
      <c r="I19" s="39"/>
      <c r="J19" s="39" t="s">
        <v>94</v>
      </c>
      <c r="K19" s="39" t="s">
        <v>95</v>
      </c>
      <c r="L19" s="39"/>
      <c r="M19" s="39"/>
      <c r="N19" s="39"/>
    </row>
    <row r="20" spans="1:15" x14ac:dyDescent="0.25">
      <c r="A20" s="39" t="str">
        <f ca="1">IF($H20="","",INDEX('MAPEO TEMAS'!$B$2:$B$406,$H20))</f>
        <v/>
      </c>
      <c r="B20" s="40" t="str">
        <f ca="1">IF($H20="","",INDEX('MAPEO TEMAS'!$D$2:$D$406,$H20))</f>
        <v/>
      </c>
      <c r="C20" s="39" t="str">
        <f ca="1">IF($H20="","",INDEX('MAPEO TEMAS'!$E$2:$E$406,$H20))</f>
        <v/>
      </c>
      <c r="D20" s="41" t="str">
        <f ca="1">IF($H20="","",INDEX('MAPEO TEMAS'!$F$2:$F$406,$H20))</f>
        <v/>
      </c>
      <c r="E20" s="39" t="str">
        <f ca="1">IF($H20="","",INDEX('MAPEO TEMAS'!$G$2:$G$406,$H20))</f>
        <v/>
      </c>
      <c r="F20" s="39" t="str">
        <f ca="1">IF($H20="","",INDEX('MAPEO TEMAS'!$H$2:$H$406,$H20))</f>
        <v/>
      </c>
      <c r="G20" s="39" t="str">
        <f ca="1">IF($H20="","",INDEX('MAPEO TEMAS'!$I$2:$I$406,$H20))</f>
        <v/>
      </c>
      <c r="H20" s="39" t="str">
        <f ca="1">IFERROR(_xludf.AGGREGATE(15,6,(ROW('MAPEO TEMAS'!$A$2:$A$406)-1)/(('MAPEO TEMAS'!$A$2:$A$406=$B$3)*('MAPEO TEMAS'!$C$2:$C$406&lt;=MATCH($G$3,$Q$1:$Q$12,0))*(('MAPEO TEMAS'!$E$2:$E$406="F")+('MAPEO TEMAS'!$E$2:$E$406="EP"))),ROWS($H$16:H20)),"")</f>
        <v/>
      </c>
      <c r="I20" s="39"/>
      <c r="J20" s="39"/>
      <c r="K20" s="39"/>
      <c r="L20" s="39"/>
      <c r="M20" s="39"/>
      <c r="N20" s="39"/>
    </row>
    <row r="21" spans="1:15" x14ac:dyDescent="0.25">
      <c r="A21" s="39" t="str">
        <f ca="1">IF($H21="","",INDEX('MAPEO TEMAS'!$B$2:$B$406,$H21))</f>
        <v/>
      </c>
      <c r="B21" s="40" t="str">
        <f ca="1">IF($H21="","",INDEX('MAPEO TEMAS'!$D$2:$D$406,$H21))</f>
        <v/>
      </c>
      <c r="C21" s="39" t="str">
        <f ca="1">IF($H21="","",INDEX('MAPEO TEMAS'!$E$2:$E$406,$H21))</f>
        <v/>
      </c>
      <c r="D21" s="41" t="str">
        <f ca="1">IF($H21="","",INDEX('MAPEO TEMAS'!$F$2:$F$406,$H21))</f>
        <v/>
      </c>
      <c r="E21" s="39" t="str">
        <f ca="1">IF($H21="","",INDEX('MAPEO TEMAS'!$G$2:$G$406,$H21))</f>
        <v/>
      </c>
      <c r="F21" s="39" t="str">
        <f ca="1">IF($H21="","",INDEX('MAPEO TEMAS'!$H$2:$H$406,$H21))</f>
        <v/>
      </c>
      <c r="G21" s="39" t="str">
        <f ca="1">IF($H21="","",INDEX('MAPEO TEMAS'!$I$2:$I$406,$H21))</f>
        <v/>
      </c>
      <c r="H21" s="39" t="str">
        <f ca="1">IFERROR(_xludf.AGGREGATE(15,6,(ROW('MAPEO TEMAS'!$A$2:$A$406)-1)/(('MAPEO TEMAS'!$A$2:$A$406=$B$3)*('MAPEO TEMAS'!$C$2:$C$406&lt;=MATCH($G$3,$Q$1:$Q$12,0))*(('MAPEO TEMAS'!$E$2:$E$406="F")+('MAPEO TEMAS'!$E$2:$E$406="EP"))),ROWS($H$16:H21)),"")</f>
        <v/>
      </c>
      <c r="I21" s="39"/>
      <c r="J21" s="95" t="s">
        <v>119</v>
      </c>
      <c r="K21" s="95"/>
      <c r="L21" s="95"/>
      <c r="M21" s="95"/>
      <c r="N21" s="95"/>
    </row>
    <row r="22" spans="1:15" x14ac:dyDescent="0.25">
      <c r="A22" s="39" t="str">
        <f ca="1">IF($H22="","",INDEX('MAPEO TEMAS'!$B$2:$B$406,$H22))</f>
        <v/>
      </c>
      <c r="B22" s="40" t="str">
        <f ca="1">IF($H22="","",INDEX('MAPEO TEMAS'!$D$2:$D$406,$H22))</f>
        <v/>
      </c>
      <c r="C22" s="39" t="str">
        <f ca="1">IF($H22="","",INDEX('MAPEO TEMAS'!$E$2:$E$406,$H22))</f>
        <v/>
      </c>
      <c r="D22" s="41" t="str">
        <f ca="1">IF($H22="","",INDEX('MAPEO TEMAS'!$F$2:$F$406,$H22))</f>
        <v/>
      </c>
      <c r="E22" s="39" t="str">
        <f ca="1">IF($H22="","",INDEX('MAPEO TEMAS'!$G$2:$G$406,$H22))</f>
        <v/>
      </c>
      <c r="F22" s="39" t="str">
        <f ca="1">IF($H22="","",INDEX('MAPEO TEMAS'!$H$2:$H$406,$H22))</f>
        <v/>
      </c>
      <c r="G22" s="39" t="str">
        <f ca="1">IF($H22="","",INDEX('MAPEO TEMAS'!$I$2:$I$406,$H22))</f>
        <v/>
      </c>
      <c r="H22" s="39" t="str">
        <f ca="1">IFERROR(_xludf.AGGREGATE(15,6,(ROW('MAPEO TEMAS'!$A$2:$A$406)-1)/(('MAPEO TEMAS'!$A$2:$A$406=$B$3)*('MAPEO TEMAS'!$C$2:$C$406&lt;=MATCH($G$3,$Q$1:$Q$12,0))*(('MAPEO TEMAS'!$E$2:$E$406="F")+('MAPEO TEMAS'!$E$2:$E$406="EP"))),ROWS($H$16:H22)),"")</f>
        <v/>
      </c>
      <c r="I22" s="39"/>
      <c r="J22" s="38" t="s">
        <v>80</v>
      </c>
      <c r="K22" s="38" t="s">
        <v>78</v>
      </c>
      <c r="L22" s="38" t="s">
        <v>120</v>
      </c>
      <c r="M22" s="38" t="s">
        <v>121</v>
      </c>
      <c r="N22" s="38" t="s">
        <v>74</v>
      </c>
    </row>
    <row r="23" spans="1:15" x14ac:dyDescent="0.25">
      <c r="A23" s="39" t="str">
        <f ca="1">IF($H23="","",INDEX('MAPEO TEMAS'!$B$2:$B$406,$H23))</f>
        <v/>
      </c>
      <c r="B23" s="40" t="str">
        <f ca="1">IF($H23="","",INDEX('MAPEO TEMAS'!$D$2:$D$406,$H23))</f>
        <v/>
      </c>
      <c r="C23" s="39" t="str">
        <f ca="1">IF($H23="","",INDEX('MAPEO TEMAS'!$E$2:$E$406,$H23))</f>
        <v/>
      </c>
      <c r="D23" s="41" t="str">
        <f ca="1">IF($H23="","",INDEX('MAPEO TEMAS'!$F$2:$F$406,$H23))</f>
        <v/>
      </c>
      <c r="E23" s="39" t="str">
        <f ca="1">IF($H23="","",INDEX('MAPEO TEMAS'!$G$2:$G$406,$H23))</f>
        <v/>
      </c>
      <c r="F23" s="39" t="str">
        <f ca="1">IF($H23="","",INDEX('MAPEO TEMAS'!$H$2:$H$406,$H23))</f>
        <v/>
      </c>
      <c r="G23" s="39" t="str">
        <f ca="1">IF($H23="","",INDEX('MAPEO TEMAS'!$I$2:$I$406,$H23))</f>
        <v/>
      </c>
      <c r="H23" s="39" t="str">
        <f ca="1">IFERROR(_xludf.AGGREGATE(15,6,(ROW('MAPEO TEMAS'!$A$2:$A$406)-1)/(('MAPEO TEMAS'!$A$2:$A$406=$B$3)*('MAPEO TEMAS'!$C$2:$C$406&lt;=MATCH($G$3,$Q$1:$Q$12,0))*(('MAPEO TEMAS'!$E$2:$E$406="F")+('MAPEO TEMAS'!$E$2:$E$406="EP"))),ROWS($H$16:H23)),"")</f>
        <v/>
      </c>
      <c r="I23" s="39"/>
      <c r="J23" s="40" t="str">
        <f ca="1">IF($O23="","",INDEX('MAPEO TEMAS'!$D$2:$D$406,$O23))</f>
        <v/>
      </c>
      <c r="K23" s="39" t="str">
        <f ca="1">IF($O23="","",INDEX('MAPEO TEMAS'!$B$2:$B$406,$O23))</f>
        <v/>
      </c>
      <c r="L23" s="39" t="str">
        <f ca="1">IF($O23="","",INDEX('MAPEO TEMAS'!$G$2:$G$406,$O23))</f>
        <v/>
      </c>
      <c r="M23" s="39" t="str">
        <f ca="1">IF($O23="","",INDEX('MAPEO TEMAS'!$H$2:$H$406,$O23))</f>
        <v/>
      </c>
      <c r="N23" s="39" t="str">
        <f ca="1">IF($O23="","",INDEX('MAPEO TEMAS'!$I$2:$I$406,$O23))</f>
        <v/>
      </c>
      <c r="O23" t="str">
        <f ca="1">IFERROR(_xludf.AGGREGATE(15,6,(ROW('MAPEO TEMAS'!$A$2:$A$406)-1)/(('MAPEO TEMAS'!$A$2:$A$406=$B$3)*('MAPEO TEMAS'!$C$2:$C$406&lt;=MATCH($G$3,$Q$1:$Q$12,0))),ROWS($O$23:O23)),"")</f>
        <v/>
      </c>
    </row>
    <row r="24" spans="1:15" x14ac:dyDescent="0.25">
      <c r="A24" s="39" t="str">
        <f ca="1">IF($H24="","",INDEX('MAPEO TEMAS'!$B$2:$B$406,$H24))</f>
        <v/>
      </c>
      <c r="B24" s="40" t="str">
        <f ca="1">IF($H24="","",INDEX('MAPEO TEMAS'!$D$2:$D$406,$H24))</f>
        <v/>
      </c>
      <c r="C24" s="39" t="str">
        <f ca="1">IF($H24="","",INDEX('MAPEO TEMAS'!$E$2:$E$406,$H24))</f>
        <v/>
      </c>
      <c r="D24" s="41" t="str">
        <f ca="1">IF($H24="","",INDEX('MAPEO TEMAS'!$F$2:$F$406,$H24))</f>
        <v/>
      </c>
      <c r="E24" s="39" t="str">
        <f ca="1">IF($H24="","",INDEX('MAPEO TEMAS'!$G$2:$G$406,$H24))</f>
        <v/>
      </c>
      <c r="F24" s="39" t="str">
        <f ca="1">IF($H24="","",INDEX('MAPEO TEMAS'!$H$2:$H$406,$H24))</f>
        <v/>
      </c>
      <c r="G24" s="39" t="str">
        <f ca="1">IF($H24="","",INDEX('MAPEO TEMAS'!$I$2:$I$406,$H24))</f>
        <v/>
      </c>
      <c r="H24" s="39" t="str">
        <f ca="1">IFERROR(_xludf.AGGREGATE(15,6,(ROW('MAPEO TEMAS'!$A$2:$A$406)-1)/(('MAPEO TEMAS'!$A$2:$A$406=$B$3)*('MAPEO TEMAS'!$C$2:$C$406&lt;=MATCH($G$3,$Q$1:$Q$12,0))*(('MAPEO TEMAS'!$E$2:$E$406="F")+('MAPEO TEMAS'!$E$2:$E$406="EP"))),ROWS($H$16:H24)),"")</f>
        <v/>
      </c>
      <c r="I24" s="39"/>
      <c r="J24" s="40" t="str">
        <f ca="1">IF($O24="","",INDEX('MAPEO TEMAS'!$D$2:$D$406,$O24))</f>
        <v/>
      </c>
      <c r="K24" s="39" t="str">
        <f ca="1">IF($O24="","",INDEX('MAPEO TEMAS'!$B$2:$B$406,$O24))</f>
        <v/>
      </c>
      <c r="L24" s="39" t="str">
        <f ca="1">IF($O24="","",INDEX('MAPEO TEMAS'!$G$2:$G$406,$O24))</f>
        <v/>
      </c>
      <c r="M24" s="39" t="str">
        <f ca="1">IF($O24="","",INDEX('MAPEO TEMAS'!$H$2:$H$406,$O24))</f>
        <v/>
      </c>
      <c r="N24" s="39" t="str">
        <f ca="1">IF($O24="","",INDEX('MAPEO TEMAS'!$I$2:$I$406,$O24))</f>
        <v/>
      </c>
      <c r="O24" t="str">
        <f ca="1">IFERROR(_xludf.AGGREGATE(15,6,(ROW('MAPEO TEMAS'!$A$2:$A$406)-1)/(('MAPEO TEMAS'!$A$2:$A$406=$B$3)*('MAPEO TEMAS'!$C$2:$C$406&lt;=MATCH($G$3,$Q$1:$Q$12,0))),ROWS($O$23:O24)),"")</f>
        <v/>
      </c>
    </row>
    <row r="25" spans="1:15" x14ac:dyDescent="0.25">
      <c r="A25" s="39" t="str">
        <f ca="1">IF($H25="","",INDEX('MAPEO TEMAS'!$B$2:$B$406,$H25))</f>
        <v/>
      </c>
      <c r="B25" s="40" t="str">
        <f ca="1">IF($H25="","",INDEX('MAPEO TEMAS'!$D$2:$D$406,$H25))</f>
        <v/>
      </c>
      <c r="C25" s="39" t="str">
        <f ca="1">IF($H25="","",INDEX('MAPEO TEMAS'!$E$2:$E$406,$H25))</f>
        <v/>
      </c>
      <c r="D25" s="41" t="str">
        <f ca="1">IF($H25="","",INDEX('MAPEO TEMAS'!$F$2:$F$406,$H25))</f>
        <v/>
      </c>
      <c r="E25" s="39" t="str">
        <f ca="1">IF($H25="","",INDEX('MAPEO TEMAS'!$G$2:$G$406,$H25))</f>
        <v/>
      </c>
      <c r="F25" s="39" t="str">
        <f ca="1">IF($H25="","",INDEX('MAPEO TEMAS'!$H$2:$H$406,$H25))</f>
        <v/>
      </c>
      <c r="G25" s="39" t="str">
        <f ca="1">IF($H25="","",INDEX('MAPEO TEMAS'!$I$2:$I$406,$H25))</f>
        <v/>
      </c>
      <c r="H25" s="39" t="str">
        <f ca="1">IFERROR(_xludf.AGGREGATE(15,6,(ROW('MAPEO TEMAS'!$A$2:$A$406)-1)/(('MAPEO TEMAS'!$A$2:$A$406=$B$3)*('MAPEO TEMAS'!$C$2:$C$406&lt;=MATCH($G$3,$Q$1:$Q$12,0))*(('MAPEO TEMAS'!$E$2:$E$406="F")+('MAPEO TEMAS'!$E$2:$E$406="EP"))),ROWS($H$16:H25)),"")</f>
        <v/>
      </c>
      <c r="I25" s="39"/>
      <c r="J25" s="40" t="str">
        <f ca="1">IF($O25="","",INDEX('MAPEO TEMAS'!$D$2:$D$406,$O25))</f>
        <v/>
      </c>
      <c r="K25" s="39" t="str">
        <f ca="1">IF($O25="","",INDEX('MAPEO TEMAS'!$B$2:$B$406,$O25))</f>
        <v/>
      </c>
      <c r="L25" s="39" t="str">
        <f ca="1">IF($O25="","",INDEX('MAPEO TEMAS'!$G$2:$G$406,$O25))</f>
        <v/>
      </c>
      <c r="M25" s="39" t="str">
        <f ca="1">IF($O25="","",INDEX('MAPEO TEMAS'!$H$2:$H$406,$O25))</f>
        <v/>
      </c>
      <c r="N25" s="39" t="str">
        <f ca="1">IF($O25="","",INDEX('MAPEO TEMAS'!$I$2:$I$406,$O25))</f>
        <v/>
      </c>
      <c r="O25" t="str">
        <f ca="1">IFERROR(_xludf.AGGREGATE(15,6,(ROW('MAPEO TEMAS'!$A$2:$A$406)-1)/(('MAPEO TEMAS'!$A$2:$A$406=$B$3)*('MAPEO TEMAS'!$C$2:$C$406&lt;=MATCH($G$3,$Q$1:$Q$12,0))),ROWS($O$23:O25)),"")</f>
        <v/>
      </c>
    </row>
    <row r="26" spans="1:15" x14ac:dyDescent="0.25">
      <c r="A26" s="39" t="str">
        <f ca="1">IF($H26="","",INDEX('MAPEO TEMAS'!$B$2:$B$406,$H26))</f>
        <v/>
      </c>
      <c r="B26" s="40" t="str">
        <f ca="1">IF($H26="","",INDEX('MAPEO TEMAS'!$D$2:$D$406,$H26))</f>
        <v/>
      </c>
      <c r="C26" s="39" t="str">
        <f ca="1">IF($H26="","",INDEX('MAPEO TEMAS'!$E$2:$E$406,$H26))</f>
        <v/>
      </c>
      <c r="D26" s="41" t="str">
        <f ca="1">IF($H26="","",INDEX('MAPEO TEMAS'!$F$2:$F$406,$H26))</f>
        <v/>
      </c>
      <c r="E26" s="39" t="str">
        <f ca="1">IF($H26="","",INDEX('MAPEO TEMAS'!$G$2:$G$406,$H26))</f>
        <v/>
      </c>
      <c r="F26" s="39" t="str">
        <f ca="1">IF($H26="","",INDEX('MAPEO TEMAS'!$H$2:$H$406,$H26))</f>
        <v/>
      </c>
      <c r="G26" s="39" t="str">
        <f ca="1">IF($H26="","",INDEX('MAPEO TEMAS'!$I$2:$I$406,$H26))</f>
        <v/>
      </c>
      <c r="H26" s="39" t="str">
        <f ca="1">IFERROR(_xludf.AGGREGATE(15,6,(ROW('MAPEO TEMAS'!$A$2:$A$406)-1)/(('MAPEO TEMAS'!$A$2:$A$406=$B$3)*('MAPEO TEMAS'!$C$2:$C$406&lt;=MATCH($G$3,$Q$1:$Q$12,0))*(('MAPEO TEMAS'!$E$2:$E$406="F")+('MAPEO TEMAS'!$E$2:$E$406="EP"))),ROWS($H$16:H26)),"")</f>
        <v/>
      </c>
      <c r="I26" s="39"/>
      <c r="J26" s="40" t="str">
        <f ca="1">IF($O26="","",INDEX('MAPEO TEMAS'!$D$2:$D$406,$O26))</f>
        <v/>
      </c>
      <c r="K26" s="39" t="str">
        <f ca="1">IF($O26="","",INDEX('MAPEO TEMAS'!$B$2:$B$406,$O26))</f>
        <v/>
      </c>
      <c r="L26" s="39" t="str">
        <f ca="1">IF($O26="","",INDEX('MAPEO TEMAS'!$G$2:$G$406,$O26))</f>
        <v/>
      </c>
      <c r="M26" s="39" t="str">
        <f ca="1">IF($O26="","",INDEX('MAPEO TEMAS'!$H$2:$H$406,$O26))</f>
        <v/>
      </c>
      <c r="N26" s="39" t="str">
        <f ca="1">IF($O26="","",INDEX('MAPEO TEMAS'!$I$2:$I$406,$O26))</f>
        <v/>
      </c>
      <c r="O26" t="str">
        <f ca="1">IFERROR(_xludf.AGGREGATE(15,6,(ROW('MAPEO TEMAS'!$A$2:$A$406)-1)/(('MAPEO TEMAS'!$A$2:$A$406=$B$3)*('MAPEO TEMAS'!$C$2:$C$406&lt;=MATCH($G$3,$Q$1:$Q$12,0))),ROWS($O$23:O26)),"")</f>
        <v/>
      </c>
    </row>
    <row r="27" spans="1:15" x14ac:dyDescent="0.25">
      <c r="A27" s="39" t="str">
        <f ca="1">IF($H27="","",INDEX('MAPEO TEMAS'!$B$2:$B$406,$H27))</f>
        <v/>
      </c>
      <c r="B27" s="40" t="str">
        <f ca="1">IF($H27="","",INDEX('MAPEO TEMAS'!$D$2:$D$406,$H27))</f>
        <v/>
      </c>
      <c r="C27" s="39" t="str">
        <f ca="1">IF($H27="","",INDEX('MAPEO TEMAS'!$E$2:$E$406,$H27))</f>
        <v/>
      </c>
      <c r="D27" s="41" t="str">
        <f ca="1">IF($H27="","",INDEX('MAPEO TEMAS'!$F$2:$F$406,$H27))</f>
        <v/>
      </c>
      <c r="E27" s="39" t="str">
        <f ca="1">IF($H27="","",INDEX('MAPEO TEMAS'!$G$2:$G$406,$H27))</f>
        <v/>
      </c>
      <c r="F27" s="39" t="str">
        <f ca="1">IF($H27="","",INDEX('MAPEO TEMAS'!$H$2:$H$406,$H27))</f>
        <v/>
      </c>
      <c r="G27" s="39" t="str">
        <f ca="1">IF($H27="","",INDEX('MAPEO TEMAS'!$I$2:$I$406,$H27))</f>
        <v/>
      </c>
      <c r="H27" s="39" t="str">
        <f ca="1">IFERROR(_xludf.AGGREGATE(15,6,(ROW('MAPEO TEMAS'!$A$2:$A$406)-1)/(('MAPEO TEMAS'!$A$2:$A$406=$B$3)*('MAPEO TEMAS'!$C$2:$C$406&lt;=MATCH($G$3,$Q$1:$Q$12,0))*(('MAPEO TEMAS'!$E$2:$E$406="F")+('MAPEO TEMAS'!$E$2:$E$406="EP"))),ROWS($H$16:H27)),"")</f>
        <v/>
      </c>
      <c r="I27" s="39"/>
      <c r="J27" s="40" t="str">
        <f ca="1">IF($O27="","",INDEX('MAPEO TEMAS'!$D$2:$D$406,$O27))</f>
        <v/>
      </c>
      <c r="K27" s="39" t="str">
        <f ca="1">IF($O27="","",INDEX('MAPEO TEMAS'!$B$2:$B$406,$O27))</f>
        <v/>
      </c>
      <c r="L27" s="39" t="str">
        <f ca="1">IF($O27="","",INDEX('MAPEO TEMAS'!$G$2:$G$406,$O27))</f>
        <v/>
      </c>
      <c r="M27" s="39" t="str">
        <f ca="1">IF($O27="","",INDEX('MAPEO TEMAS'!$H$2:$H$406,$O27))</f>
        <v/>
      </c>
      <c r="N27" s="39" t="str">
        <f ca="1">IF($O27="","",INDEX('MAPEO TEMAS'!$I$2:$I$406,$O27))</f>
        <v/>
      </c>
      <c r="O27" t="str">
        <f ca="1">IFERROR(_xludf.AGGREGATE(15,6,(ROW('MAPEO TEMAS'!$A$2:$A$406)-1)/(('MAPEO TEMAS'!$A$2:$A$406=$B$3)*('MAPEO TEMAS'!$C$2:$C$406&lt;=MATCH($G$3,$Q$1:$Q$12,0))),ROWS($O$23:O27)),"")</f>
        <v/>
      </c>
    </row>
    <row r="28" spans="1:15" x14ac:dyDescent="0.25">
      <c r="A28" s="39" t="str">
        <f ca="1">IF($H28="","",INDEX('MAPEO TEMAS'!$B$2:$B$406,$H28))</f>
        <v/>
      </c>
      <c r="B28" s="40" t="str">
        <f ca="1">IF($H28="","",INDEX('MAPEO TEMAS'!$D$2:$D$406,$H28))</f>
        <v/>
      </c>
      <c r="C28" s="39" t="str">
        <f ca="1">IF($H28="","",INDEX('MAPEO TEMAS'!$E$2:$E$406,$H28))</f>
        <v/>
      </c>
      <c r="D28" s="41" t="str">
        <f ca="1">IF($H28="","",INDEX('MAPEO TEMAS'!$F$2:$F$406,$H28))</f>
        <v/>
      </c>
      <c r="E28" s="39" t="str">
        <f ca="1">IF($H28="","",INDEX('MAPEO TEMAS'!$G$2:$G$406,$H28))</f>
        <v/>
      </c>
      <c r="F28" s="39" t="str">
        <f ca="1">IF($H28="","",INDEX('MAPEO TEMAS'!$H$2:$H$406,$H28))</f>
        <v/>
      </c>
      <c r="G28" s="39" t="str">
        <f ca="1">IF($H28="","",INDEX('MAPEO TEMAS'!$I$2:$I$406,$H28))</f>
        <v/>
      </c>
      <c r="H28" s="39" t="str">
        <f ca="1">IFERROR(_xludf.AGGREGATE(15,6,(ROW('MAPEO TEMAS'!$A$2:$A$406)-1)/(('MAPEO TEMAS'!$A$2:$A$406=$B$3)*('MAPEO TEMAS'!$C$2:$C$406&lt;=MATCH($G$3,$Q$1:$Q$12,0))*(('MAPEO TEMAS'!$E$2:$E$406="F")+('MAPEO TEMAS'!$E$2:$E$406="EP"))),ROWS($H$16:H28)),"")</f>
        <v/>
      </c>
      <c r="I28" s="39"/>
      <c r="J28" s="40" t="str">
        <f ca="1">IF($O28="","",INDEX('MAPEO TEMAS'!$D$2:$D$406,$O28))</f>
        <v/>
      </c>
      <c r="K28" s="39" t="str">
        <f ca="1">IF($O28="","",INDEX('MAPEO TEMAS'!$B$2:$B$406,$O28))</f>
        <v/>
      </c>
      <c r="L28" s="39" t="str">
        <f ca="1">IF($O28="","",INDEX('MAPEO TEMAS'!$G$2:$G$406,$O28))</f>
        <v/>
      </c>
      <c r="M28" s="39" t="str">
        <f ca="1">IF($O28="","",INDEX('MAPEO TEMAS'!$H$2:$H$406,$O28))</f>
        <v/>
      </c>
      <c r="N28" s="39" t="str">
        <f ca="1">IF($O28="","",INDEX('MAPEO TEMAS'!$I$2:$I$406,$O28))</f>
        <v/>
      </c>
      <c r="O28" t="str">
        <f ca="1">IFERROR(_xludf.AGGREGATE(15,6,(ROW('MAPEO TEMAS'!$A$2:$A$406)-1)/(('MAPEO TEMAS'!$A$2:$A$406=$B$3)*('MAPEO TEMAS'!$C$2:$C$406&lt;=MATCH($G$3,$Q$1:$Q$12,0))),ROWS($O$23:O28)),"")</f>
        <v/>
      </c>
    </row>
    <row r="29" spans="1:15" x14ac:dyDescent="0.25">
      <c r="A29" s="39" t="str">
        <f ca="1">IF($H29="","",INDEX('MAPEO TEMAS'!$B$2:$B$406,$H29))</f>
        <v/>
      </c>
      <c r="B29" s="40" t="str">
        <f ca="1">IF($H29="","",INDEX('MAPEO TEMAS'!$D$2:$D$406,$H29))</f>
        <v/>
      </c>
      <c r="C29" s="39" t="str">
        <f ca="1">IF($H29="","",INDEX('MAPEO TEMAS'!$E$2:$E$406,$H29))</f>
        <v/>
      </c>
      <c r="D29" s="41" t="str">
        <f ca="1">IF($H29="","",INDEX('MAPEO TEMAS'!$F$2:$F$406,$H29))</f>
        <v/>
      </c>
      <c r="E29" s="39" t="str">
        <f ca="1">IF($H29="","",INDEX('MAPEO TEMAS'!$G$2:$G$406,$H29))</f>
        <v/>
      </c>
      <c r="F29" s="39" t="str">
        <f ca="1">IF($H29="","",INDEX('MAPEO TEMAS'!$H$2:$H$406,$H29))</f>
        <v/>
      </c>
      <c r="G29" s="39" t="str">
        <f ca="1">IF($H29="","",INDEX('MAPEO TEMAS'!$I$2:$I$406,$H29))</f>
        <v/>
      </c>
      <c r="H29" s="39" t="str">
        <f ca="1">IFERROR(_xludf.AGGREGATE(15,6,(ROW('MAPEO TEMAS'!$A$2:$A$406)-1)/(('MAPEO TEMAS'!$A$2:$A$406=$B$3)*('MAPEO TEMAS'!$C$2:$C$406&lt;=MATCH($G$3,$Q$1:$Q$12,0))*(('MAPEO TEMAS'!$E$2:$E$406="F")+('MAPEO TEMAS'!$E$2:$E$406="EP"))),ROWS($H$16:H29)),"")</f>
        <v/>
      </c>
      <c r="I29" s="39"/>
      <c r="J29" s="40" t="str">
        <f ca="1">IF($O29="","",INDEX('MAPEO TEMAS'!$D$2:$D$406,$O29))</f>
        <v/>
      </c>
      <c r="K29" s="39" t="str">
        <f ca="1">IF($O29="","",INDEX('MAPEO TEMAS'!$B$2:$B$406,$O29))</f>
        <v/>
      </c>
      <c r="L29" s="39" t="str">
        <f ca="1">IF($O29="","",INDEX('MAPEO TEMAS'!$G$2:$G$406,$O29))</f>
        <v/>
      </c>
      <c r="M29" s="39" t="str">
        <f ca="1">IF($O29="","",INDEX('MAPEO TEMAS'!$H$2:$H$406,$O29))</f>
        <v/>
      </c>
      <c r="N29" s="39" t="str">
        <f ca="1">IF($O29="","",INDEX('MAPEO TEMAS'!$I$2:$I$406,$O29))</f>
        <v/>
      </c>
      <c r="O29" t="str">
        <f ca="1">IFERROR(_xludf.AGGREGATE(15,6,(ROW('MAPEO TEMAS'!$A$2:$A$406)-1)/(('MAPEO TEMAS'!$A$2:$A$406=$B$3)*('MAPEO TEMAS'!$C$2:$C$406&lt;=MATCH($G$3,$Q$1:$Q$12,0))),ROWS($O$23:O29)),"")</f>
        <v/>
      </c>
    </row>
    <row r="30" spans="1:15" x14ac:dyDescent="0.25">
      <c r="A30" s="39" t="str">
        <f ca="1">IF($H30="","",INDEX('MAPEO TEMAS'!$B$2:$B$406,$H30))</f>
        <v/>
      </c>
      <c r="B30" s="40" t="str">
        <f ca="1">IF($H30="","",INDEX('MAPEO TEMAS'!$D$2:$D$406,$H30))</f>
        <v/>
      </c>
      <c r="C30" s="39" t="str">
        <f ca="1">IF($H30="","",INDEX('MAPEO TEMAS'!$E$2:$E$406,$H30))</f>
        <v/>
      </c>
      <c r="D30" s="41" t="str">
        <f ca="1">IF($H30="","",INDEX('MAPEO TEMAS'!$F$2:$F$406,$H30))</f>
        <v/>
      </c>
      <c r="E30" s="39" t="str">
        <f ca="1">IF($H30="","",INDEX('MAPEO TEMAS'!$G$2:$G$406,$H30))</f>
        <v/>
      </c>
      <c r="F30" s="39" t="str">
        <f ca="1">IF($H30="","",INDEX('MAPEO TEMAS'!$H$2:$H$406,$H30))</f>
        <v/>
      </c>
      <c r="G30" s="39" t="str">
        <f ca="1">IF($H30="","",INDEX('MAPEO TEMAS'!$I$2:$I$406,$H30))</f>
        <v/>
      </c>
      <c r="H30" s="39" t="str">
        <f ca="1">IFERROR(_xludf.AGGREGATE(15,6,(ROW('MAPEO TEMAS'!$A$2:$A$406)-1)/(('MAPEO TEMAS'!$A$2:$A$406=$B$3)*('MAPEO TEMAS'!$C$2:$C$406&lt;=MATCH($G$3,$Q$1:$Q$12,0))*(('MAPEO TEMAS'!$E$2:$E$406="F")+('MAPEO TEMAS'!$E$2:$E$406="EP"))),ROWS($H$16:H30)),"")</f>
        <v/>
      </c>
      <c r="I30" s="39"/>
      <c r="J30" s="40" t="str">
        <f ca="1">IF($O30="","",INDEX('MAPEO TEMAS'!$D$2:$D$406,$O30))</f>
        <v/>
      </c>
      <c r="K30" s="39" t="str">
        <f ca="1">IF($O30="","",INDEX('MAPEO TEMAS'!$B$2:$B$406,$O30))</f>
        <v/>
      </c>
      <c r="L30" s="39" t="str">
        <f ca="1">IF($O30="","",INDEX('MAPEO TEMAS'!$G$2:$G$406,$O30))</f>
        <v/>
      </c>
      <c r="M30" s="39" t="str">
        <f ca="1">IF($O30="","",INDEX('MAPEO TEMAS'!$H$2:$H$406,$O30))</f>
        <v/>
      </c>
      <c r="N30" s="39" t="str">
        <f ca="1">IF($O30="","",INDEX('MAPEO TEMAS'!$I$2:$I$406,$O30))</f>
        <v/>
      </c>
      <c r="O30" t="str">
        <f ca="1">IFERROR(_xludf.AGGREGATE(15,6,(ROW('MAPEO TEMAS'!$A$2:$A$406)-1)/(('MAPEO TEMAS'!$A$2:$A$406=$B$3)*('MAPEO TEMAS'!$C$2:$C$406&lt;=MATCH($G$3,$Q$1:$Q$12,0))),ROWS($O$23:O30)),"")</f>
        <v/>
      </c>
    </row>
    <row r="31" spans="1:15" x14ac:dyDescent="0.25">
      <c r="A31" s="39" t="str">
        <f ca="1">IF($H31="","",INDEX('MAPEO TEMAS'!$B$2:$B$406,$H31))</f>
        <v/>
      </c>
      <c r="B31" s="40" t="str">
        <f ca="1">IF($H31="","",INDEX('MAPEO TEMAS'!$D$2:$D$406,$H31))</f>
        <v/>
      </c>
      <c r="C31" s="39" t="str">
        <f ca="1">IF($H31="","",INDEX('MAPEO TEMAS'!$E$2:$E$406,$H31))</f>
        <v/>
      </c>
      <c r="D31" s="41" t="str">
        <f ca="1">IF($H31="","",INDEX('MAPEO TEMAS'!$F$2:$F$406,$H31))</f>
        <v/>
      </c>
      <c r="E31" s="39" t="str">
        <f ca="1">IF($H31="","",INDEX('MAPEO TEMAS'!$G$2:$G$406,$H31))</f>
        <v/>
      </c>
      <c r="F31" s="39" t="str">
        <f ca="1">IF($H31="","",INDEX('MAPEO TEMAS'!$H$2:$H$406,$H31))</f>
        <v/>
      </c>
      <c r="G31" s="39" t="str">
        <f ca="1">IF($H31="","",INDEX('MAPEO TEMAS'!$I$2:$I$406,$H31))</f>
        <v/>
      </c>
      <c r="H31" s="39" t="str">
        <f ca="1">IFERROR(_xludf.AGGREGATE(15,6,(ROW('MAPEO TEMAS'!$A$2:$A$406)-1)/(('MAPEO TEMAS'!$A$2:$A$406=$B$3)*('MAPEO TEMAS'!$C$2:$C$406&lt;=MATCH($G$3,$Q$1:$Q$12,0))*(('MAPEO TEMAS'!$E$2:$E$406="F")+('MAPEO TEMAS'!$E$2:$E$406="EP"))),ROWS($H$16:H31)),"")</f>
        <v/>
      </c>
      <c r="I31" s="39"/>
      <c r="J31" s="40" t="str">
        <f ca="1">IF($O31="","",INDEX('MAPEO TEMAS'!$D$2:$D$406,$O31))</f>
        <v/>
      </c>
      <c r="K31" s="39" t="str">
        <f ca="1">IF($O31="","",INDEX('MAPEO TEMAS'!$B$2:$B$406,$O31))</f>
        <v/>
      </c>
      <c r="L31" s="39" t="str">
        <f ca="1">IF($O31="","",INDEX('MAPEO TEMAS'!$G$2:$G$406,$O31))</f>
        <v/>
      </c>
      <c r="M31" s="39" t="str">
        <f ca="1">IF($O31="","",INDEX('MAPEO TEMAS'!$H$2:$H$406,$O31))</f>
        <v/>
      </c>
      <c r="N31" s="39" t="str">
        <f ca="1">IF($O31="","",INDEX('MAPEO TEMAS'!$I$2:$I$406,$O31))</f>
        <v/>
      </c>
      <c r="O31" t="str">
        <f ca="1">IFERROR(_xludf.AGGREGATE(15,6,(ROW('MAPEO TEMAS'!$A$2:$A$406)-1)/(('MAPEO TEMAS'!$A$2:$A$406=$B$3)*('MAPEO TEMAS'!$C$2:$C$406&lt;=MATCH($G$3,$Q$1:$Q$12,0))),ROWS($O$23:O31)),"")</f>
        <v/>
      </c>
    </row>
    <row r="32" spans="1:15" x14ac:dyDescent="0.25">
      <c r="A32" s="39" t="str">
        <f ca="1">IF($H32="","",INDEX('MAPEO TEMAS'!$B$2:$B$406,$H32))</f>
        <v/>
      </c>
      <c r="B32" s="40" t="str">
        <f ca="1">IF($H32="","",INDEX('MAPEO TEMAS'!$D$2:$D$406,$H32))</f>
        <v/>
      </c>
      <c r="C32" s="39" t="str">
        <f ca="1">IF($H32="","",INDEX('MAPEO TEMAS'!$E$2:$E$406,$H32))</f>
        <v/>
      </c>
      <c r="D32" s="41" t="str">
        <f ca="1">IF($H32="","",INDEX('MAPEO TEMAS'!$F$2:$F$406,$H32))</f>
        <v/>
      </c>
      <c r="E32" s="39" t="str">
        <f ca="1">IF($H32="","",INDEX('MAPEO TEMAS'!$G$2:$G$406,$H32))</f>
        <v/>
      </c>
      <c r="F32" s="39" t="str">
        <f ca="1">IF($H32="","",INDEX('MAPEO TEMAS'!$H$2:$H$406,$H32))</f>
        <v/>
      </c>
      <c r="G32" s="39" t="str">
        <f ca="1">IF($H32="","",INDEX('MAPEO TEMAS'!$I$2:$I$406,$H32))</f>
        <v/>
      </c>
      <c r="H32" s="39" t="str">
        <f ca="1">IFERROR(_xludf.AGGREGATE(15,6,(ROW('MAPEO TEMAS'!$A$2:$A$406)-1)/(('MAPEO TEMAS'!$A$2:$A$406=$B$3)*('MAPEO TEMAS'!$C$2:$C$406&lt;=MATCH($G$3,$Q$1:$Q$12,0))*(('MAPEO TEMAS'!$E$2:$E$406="F")+('MAPEO TEMAS'!$E$2:$E$406="EP"))),ROWS($H$16:H32)),"")</f>
        <v/>
      </c>
      <c r="I32" s="39"/>
      <c r="J32" s="40" t="str">
        <f ca="1">IF($O32="","",INDEX('MAPEO TEMAS'!$D$2:$D$406,$O32))</f>
        <v/>
      </c>
      <c r="K32" s="39" t="str">
        <f ca="1">IF($O32="","",INDEX('MAPEO TEMAS'!$B$2:$B$406,$O32))</f>
        <v/>
      </c>
      <c r="L32" s="39" t="str">
        <f ca="1">IF($O32="","",INDEX('MAPEO TEMAS'!$G$2:$G$406,$O32))</f>
        <v/>
      </c>
      <c r="M32" s="39" t="str">
        <f ca="1">IF($O32="","",INDEX('MAPEO TEMAS'!$H$2:$H$406,$O32))</f>
        <v/>
      </c>
      <c r="N32" s="39" t="str">
        <f ca="1">IF($O32="","",INDEX('MAPEO TEMAS'!$I$2:$I$406,$O32))</f>
        <v/>
      </c>
      <c r="O32" t="str">
        <f ca="1">IFERROR(_xludf.AGGREGATE(15,6,(ROW('MAPEO TEMAS'!$A$2:$A$406)-1)/(('MAPEO TEMAS'!$A$2:$A$406=$B$3)*('MAPEO TEMAS'!$C$2:$C$406&lt;=MATCH($G$3,$Q$1:$Q$12,0))),ROWS($O$23:O32)),"")</f>
        <v/>
      </c>
    </row>
    <row r="33" spans="1:15" x14ac:dyDescent="0.25">
      <c r="A33" s="39" t="str">
        <f ca="1">IF($H33="","",INDEX('MAPEO TEMAS'!$B$2:$B$406,$H33))</f>
        <v/>
      </c>
      <c r="B33" s="40" t="str">
        <f ca="1">IF($H33="","",INDEX('MAPEO TEMAS'!$D$2:$D$406,$H33))</f>
        <v/>
      </c>
      <c r="C33" s="39" t="str">
        <f ca="1">IF($H33="","",INDEX('MAPEO TEMAS'!$E$2:$E$406,$H33))</f>
        <v/>
      </c>
      <c r="D33" s="41" t="str">
        <f ca="1">IF($H33="","",INDEX('MAPEO TEMAS'!$F$2:$F$406,$H33))</f>
        <v/>
      </c>
      <c r="E33" s="39" t="str">
        <f ca="1">IF($H33="","",INDEX('MAPEO TEMAS'!$G$2:$G$406,$H33))</f>
        <v/>
      </c>
      <c r="F33" s="39" t="str">
        <f ca="1">IF($H33="","",INDEX('MAPEO TEMAS'!$H$2:$H$406,$H33))</f>
        <v/>
      </c>
      <c r="G33" s="39" t="str">
        <f ca="1">IF($H33="","",INDEX('MAPEO TEMAS'!$I$2:$I$406,$H33))</f>
        <v/>
      </c>
      <c r="H33" s="39" t="str">
        <f ca="1">IFERROR(_xludf.AGGREGATE(15,6,(ROW('MAPEO TEMAS'!$A$2:$A$406)-1)/(('MAPEO TEMAS'!$A$2:$A$406=$B$3)*('MAPEO TEMAS'!$C$2:$C$406&lt;=MATCH($G$3,$Q$1:$Q$12,0))*(('MAPEO TEMAS'!$E$2:$E$406="F")+('MAPEO TEMAS'!$E$2:$E$406="EP"))),ROWS($H$16:H33)),"")</f>
        <v/>
      </c>
      <c r="I33" s="39"/>
      <c r="J33" s="40" t="str">
        <f ca="1">IF($O33="","",INDEX('MAPEO TEMAS'!$D$2:$D$406,$O33))</f>
        <v/>
      </c>
      <c r="K33" s="39" t="str">
        <f ca="1">IF($O33="","",INDEX('MAPEO TEMAS'!$B$2:$B$406,$O33))</f>
        <v/>
      </c>
      <c r="L33" s="39" t="str">
        <f ca="1">IF($O33="","",INDEX('MAPEO TEMAS'!$G$2:$G$406,$O33))</f>
        <v/>
      </c>
      <c r="M33" s="39" t="str">
        <f ca="1">IF($O33="","",INDEX('MAPEO TEMAS'!$H$2:$H$406,$O33))</f>
        <v/>
      </c>
      <c r="N33" s="39" t="str">
        <f ca="1">IF($O33="","",INDEX('MAPEO TEMAS'!$I$2:$I$406,$O33))</f>
        <v/>
      </c>
      <c r="O33" t="str">
        <f ca="1">IFERROR(_xludf.AGGREGATE(15,6,(ROW('MAPEO TEMAS'!$A$2:$A$406)-1)/(('MAPEO TEMAS'!$A$2:$A$406=$B$3)*('MAPEO TEMAS'!$C$2:$C$406&lt;=MATCH($G$3,$Q$1:$Q$12,0))),ROWS($O$23:O33)),"")</f>
        <v/>
      </c>
    </row>
    <row r="34" spans="1:15" x14ac:dyDescent="0.25">
      <c r="A34" s="39" t="str">
        <f ca="1">IF($H34="","",INDEX('MAPEO TEMAS'!$B$2:$B$406,$H34))</f>
        <v/>
      </c>
      <c r="B34" s="40" t="str">
        <f ca="1">IF($H34="","",INDEX('MAPEO TEMAS'!$D$2:$D$406,$H34))</f>
        <v/>
      </c>
      <c r="C34" s="39" t="str">
        <f ca="1">IF($H34="","",INDEX('MAPEO TEMAS'!$E$2:$E$406,$H34))</f>
        <v/>
      </c>
      <c r="D34" s="41" t="str">
        <f ca="1">IF($H34="","",INDEX('MAPEO TEMAS'!$F$2:$F$406,$H34))</f>
        <v/>
      </c>
      <c r="E34" s="39" t="str">
        <f ca="1">IF($H34="","",INDEX('MAPEO TEMAS'!$G$2:$G$406,$H34))</f>
        <v/>
      </c>
      <c r="F34" s="39" t="str">
        <f ca="1">IF($H34="","",INDEX('MAPEO TEMAS'!$H$2:$H$406,$H34))</f>
        <v/>
      </c>
      <c r="G34" s="39" t="str">
        <f ca="1">IF($H34="","",INDEX('MAPEO TEMAS'!$I$2:$I$406,$H34))</f>
        <v/>
      </c>
      <c r="H34" s="39" t="str">
        <f ca="1">IFERROR(_xludf.AGGREGATE(15,6,(ROW('MAPEO TEMAS'!$A$2:$A$406)-1)/(('MAPEO TEMAS'!$A$2:$A$406=$B$3)*('MAPEO TEMAS'!$C$2:$C$406&lt;=MATCH($G$3,$Q$1:$Q$12,0))*(('MAPEO TEMAS'!$E$2:$E$406="F")+('MAPEO TEMAS'!$E$2:$E$406="EP"))),ROWS($H$16:H34)),"")</f>
        <v/>
      </c>
      <c r="I34" s="39"/>
      <c r="J34" s="40" t="str">
        <f ca="1">IF($O34="","",INDEX('MAPEO TEMAS'!$D$2:$D$406,$O34))</f>
        <v/>
      </c>
      <c r="K34" s="39" t="str">
        <f ca="1">IF($O34="","",INDEX('MAPEO TEMAS'!$B$2:$B$406,$O34))</f>
        <v/>
      </c>
      <c r="L34" s="39" t="str">
        <f ca="1">IF($O34="","",INDEX('MAPEO TEMAS'!$G$2:$G$406,$O34))</f>
        <v/>
      </c>
      <c r="M34" s="39" t="str">
        <f ca="1">IF($O34="","",INDEX('MAPEO TEMAS'!$H$2:$H$406,$O34))</f>
        <v/>
      </c>
      <c r="N34" s="39" t="str">
        <f ca="1">IF($O34="","",INDEX('MAPEO TEMAS'!$I$2:$I$406,$O34))</f>
        <v/>
      </c>
      <c r="O34" t="str">
        <f ca="1">IFERROR(_xludf.AGGREGATE(15,6,(ROW('MAPEO TEMAS'!$A$2:$A$406)-1)/(('MAPEO TEMAS'!$A$2:$A$406=$B$3)*('MAPEO TEMAS'!$C$2:$C$406&lt;=MATCH($G$3,$Q$1:$Q$12,0))),ROWS($O$23:O34)),"")</f>
        <v/>
      </c>
    </row>
    <row r="35" spans="1:15" x14ac:dyDescent="0.25">
      <c r="A35" s="39" t="str">
        <f ca="1">IF($H35="","",INDEX('MAPEO TEMAS'!$B$2:$B$406,$H35))</f>
        <v/>
      </c>
      <c r="B35" s="40" t="str">
        <f ca="1">IF($H35="","",INDEX('MAPEO TEMAS'!$D$2:$D$406,$H35))</f>
        <v/>
      </c>
      <c r="C35" s="39" t="str">
        <f ca="1">IF($H35="","",INDEX('MAPEO TEMAS'!$E$2:$E$406,$H35))</f>
        <v/>
      </c>
      <c r="D35" s="41" t="str">
        <f ca="1">IF($H35="","",INDEX('MAPEO TEMAS'!$F$2:$F$406,$H35))</f>
        <v/>
      </c>
      <c r="E35" s="39" t="str">
        <f ca="1">IF($H35="","",INDEX('MAPEO TEMAS'!$G$2:$G$406,$H35))</f>
        <v/>
      </c>
      <c r="F35" s="39" t="str">
        <f ca="1">IF($H35="","",INDEX('MAPEO TEMAS'!$H$2:$H$406,$H35))</f>
        <v/>
      </c>
      <c r="G35" s="39" t="str">
        <f ca="1">IF($H35="","",INDEX('MAPEO TEMAS'!$I$2:$I$406,$H35))</f>
        <v/>
      </c>
      <c r="H35" s="39" t="str">
        <f ca="1">IFERROR(_xludf.AGGREGATE(15,6,(ROW('MAPEO TEMAS'!$A$2:$A$406)-1)/(('MAPEO TEMAS'!$A$2:$A$406=$B$3)*('MAPEO TEMAS'!$C$2:$C$406&lt;=MATCH($G$3,$Q$1:$Q$12,0))*(('MAPEO TEMAS'!$E$2:$E$406="F")+('MAPEO TEMAS'!$E$2:$E$406="EP"))),ROWS($H$16:H35)),"")</f>
        <v/>
      </c>
      <c r="I35" s="39"/>
      <c r="J35" s="40" t="str">
        <f ca="1">IF($O35="","",INDEX('MAPEO TEMAS'!$D$2:$D$406,$O35))</f>
        <v/>
      </c>
      <c r="K35" s="39" t="str">
        <f ca="1">IF($O35="","",INDEX('MAPEO TEMAS'!$B$2:$B$406,$O35))</f>
        <v/>
      </c>
      <c r="L35" s="39" t="str">
        <f ca="1">IF($O35="","",INDEX('MAPEO TEMAS'!$G$2:$G$406,$O35))</f>
        <v/>
      </c>
      <c r="M35" s="39" t="str">
        <f ca="1">IF($O35="","",INDEX('MAPEO TEMAS'!$H$2:$H$406,$O35))</f>
        <v/>
      </c>
      <c r="N35" s="39" t="str">
        <f ca="1">IF($O35="","",INDEX('MAPEO TEMAS'!$I$2:$I$406,$O35))</f>
        <v/>
      </c>
      <c r="O35" t="str">
        <f ca="1">IFERROR(_xludf.AGGREGATE(15,6,(ROW('MAPEO TEMAS'!$A$2:$A$406)-1)/(('MAPEO TEMAS'!$A$2:$A$406=$B$3)*('MAPEO TEMAS'!$C$2:$C$406&lt;=MATCH($G$3,$Q$1:$Q$12,0))),ROWS($O$23:O35)),"")</f>
        <v/>
      </c>
    </row>
    <row r="36" spans="1:15" x14ac:dyDescent="0.25">
      <c r="A36" s="39" t="str">
        <f ca="1">IF($H36="","",INDEX('MAPEO TEMAS'!$B$2:$B$406,$H36))</f>
        <v/>
      </c>
      <c r="B36" s="40" t="str">
        <f ca="1">IF($H36="","",INDEX('MAPEO TEMAS'!$D$2:$D$406,$H36))</f>
        <v/>
      </c>
      <c r="C36" s="39" t="str">
        <f ca="1">IF($H36="","",INDEX('MAPEO TEMAS'!$E$2:$E$406,$H36))</f>
        <v/>
      </c>
      <c r="D36" s="41" t="str">
        <f ca="1">IF($H36="","",INDEX('MAPEO TEMAS'!$F$2:$F$406,$H36))</f>
        <v/>
      </c>
      <c r="E36" s="39" t="str">
        <f ca="1">IF($H36="","",INDEX('MAPEO TEMAS'!$G$2:$G$406,$H36))</f>
        <v/>
      </c>
      <c r="F36" s="39" t="str">
        <f ca="1">IF($H36="","",INDEX('MAPEO TEMAS'!$H$2:$H$406,$H36))</f>
        <v/>
      </c>
      <c r="G36" s="39" t="str">
        <f ca="1">IF($H36="","",INDEX('MAPEO TEMAS'!$I$2:$I$406,$H36))</f>
        <v/>
      </c>
      <c r="H36" s="39" t="str">
        <f ca="1">IFERROR(_xludf.AGGREGATE(15,6,(ROW('MAPEO TEMAS'!$A$2:$A$406)-1)/(('MAPEO TEMAS'!$A$2:$A$406=$B$3)*('MAPEO TEMAS'!$C$2:$C$406&lt;=MATCH($G$3,$Q$1:$Q$12,0))*(('MAPEO TEMAS'!$E$2:$E$406="F")+('MAPEO TEMAS'!$E$2:$E$406="EP"))),ROWS($H$16:H36)),"")</f>
        <v/>
      </c>
      <c r="I36" s="39"/>
      <c r="J36" s="40" t="str">
        <f ca="1">IF($O36="","",INDEX('MAPEO TEMAS'!$D$2:$D$406,$O36))</f>
        <v/>
      </c>
      <c r="K36" s="39" t="str">
        <f ca="1">IF($O36="","",INDEX('MAPEO TEMAS'!$B$2:$B$406,$O36))</f>
        <v/>
      </c>
      <c r="L36" s="39" t="str">
        <f ca="1">IF($O36="","",INDEX('MAPEO TEMAS'!$G$2:$G$406,$O36))</f>
        <v/>
      </c>
      <c r="M36" s="39" t="str">
        <f ca="1">IF($O36="","",INDEX('MAPEO TEMAS'!$H$2:$H$406,$O36))</f>
        <v/>
      </c>
      <c r="N36" s="39" t="str">
        <f ca="1">IF($O36="","",INDEX('MAPEO TEMAS'!$I$2:$I$406,$O36))</f>
        <v/>
      </c>
      <c r="O36" t="str">
        <f ca="1">IFERROR(_xludf.AGGREGATE(15,6,(ROW('MAPEO TEMAS'!$A$2:$A$406)-1)/(('MAPEO TEMAS'!$A$2:$A$406=$B$3)*('MAPEO TEMAS'!$C$2:$C$406&lt;=MATCH($G$3,$Q$1:$Q$12,0))),ROWS($O$23:O36)),"")</f>
        <v/>
      </c>
    </row>
    <row r="37" spans="1:15" x14ac:dyDescent="0.25">
      <c r="A37" s="39" t="str">
        <f ca="1">IF($H37="","",INDEX('MAPEO TEMAS'!$B$2:$B$406,$H37))</f>
        <v/>
      </c>
      <c r="B37" s="40" t="str">
        <f ca="1">IF($H37="","",INDEX('MAPEO TEMAS'!$D$2:$D$406,$H37))</f>
        <v/>
      </c>
      <c r="C37" s="39" t="str">
        <f ca="1">IF($H37="","",INDEX('MAPEO TEMAS'!$E$2:$E$406,$H37))</f>
        <v/>
      </c>
      <c r="D37" s="41" t="str">
        <f ca="1">IF($H37="","",INDEX('MAPEO TEMAS'!$F$2:$F$406,$H37))</f>
        <v/>
      </c>
      <c r="E37" s="39" t="str">
        <f ca="1">IF($H37="","",INDEX('MAPEO TEMAS'!$G$2:$G$406,$H37))</f>
        <v/>
      </c>
      <c r="F37" s="39" t="str">
        <f ca="1">IF($H37="","",INDEX('MAPEO TEMAS'!$H$2:$H$406,$H37))</f>
        <v/>
      </c>
      <c r="G37" s="39" t="str">
        <f ca="1">IF($H37="","",INDEX('MAPEO TEMAS'!$I$2:$I$406,$H37))</f>
        <v/>
      </c>
      <c r="H37" s="39" t="str">
        <f ca="1">IFERROR(_xludf.AGGREGATE(15,6,(ROW('MAPEO TEMAS'!$A$2:$A$406)-1)/(('MAPEO TEMAS'!$A$2:$A$406=$B$3)*('MAPEO TEMAS'!$C$2:$C$406&lt;=MATCH($G$3,$Q$1:$Q$12,0))*(('MAPEO TEMAS'!$E$2:$E$406="F")+('MAPEO TEMAS'!$E$2:$E$406="EP"))),ROWS($H$16:H37)),"")</f>
        <v/>
      </c>
      <c r="I37" s="39"/>
      <c r="J37" s="40" t="str">
        <f ca="1">IF($O37="","",INDEX('MAPEO TEMAS'!$D$2:$D$406,$O37))</f>
        <v/>
      </c>
      <c r="K37" s="39" t="str">
        <f ca="1">IF($O37="","",INDEX('MAPEO TEMAS'!$B$2:$B$406,$O37))</f>
        <v/>
      </c>
      <c r="L37" s="39" t="str">
        <f ca="1">IF($O37="","",INDEX('MAPEO TEMAS'!$G$2:$G$406,$O37))</f>
        <v/>
      </c>
      <c r="M37" s="39" t="str">
        <f ca="1">IF($O37="","",INDEX('MAPEO TEMAS'!$H$2:$H$406,$O37))</f>
        <v/>
      </c>
      <c r="N37" s="39" t="str">
        <f ca="1">IF($O37="","",INDEX('MAPEO TEMAS'!$I$2:$I$406,$O37))</f>
        <v/>
      </c>
      <c r="O37" t="str">
        <f ca="1">IFERROR(_xludf.AGGREGATE(15,6,(ROW('MAPEO TEMAS'!$A$2:$A$406)-1)/(('MAPEO TEMAS'!$A$2:$A$406=$B$3)*('MAPEO TEMAS'!$C$2:$C$406&lt;=MATCH($G$3,$Q$1:$Q$12,0))),ROWS($O$23:O37)),"")</f>
        <v/>
      </c>
    </row>
    <row r="38" spans="1:15" x14ac:dyDescent="0.25">
      <c r="A38" s="39" t="str">
        <f ca="1">IF($H38="","",INDEX('MAPEO TEMAS'!$B$2:$B$406,$H38))</f>
        <v/>
      </c>
      <c r="B38" s="40" t="str">
        <f ca="1">IF($H38="","",INDEX('MAPEO TEMAS'!$D$2:$D$406,$H38))</f>
        <v/>
      </c>
      <c r="C38" s="39" t="str">
        <f ca="1">IF($H38="","",INDEX('MAPEO TEMAS'!$E$2:$E$406,$H38))</f>
        <v/>
      </c>
      <c r="D38" s="41" t="str">
        <f ca="1">IF($H38="","",INDEX('MAPEO TEMAS'!$F$2:$F$406,$H38))</f>
        <v/>
      </c>
      <c r="E38" s="39" t="str">
        <f ca="1">IF($H38="","",INDEX('MAPEO TEMAS'!$G$2:$G$406,$H38))</f>
        <v/>
      </c>
      <c r="F38" s="39" t="str">
        <f ca="1">IF($H38="","",INDEX('MAPEO TEMAS'!$H$2:$H$406,$H38))</f>
        <v/>
      </c>
      <c r="G38" s="39" t="str">
        <f ca="1">IF($H38="","",INDEX('MAPEO TEMAS'!$I$2:$I$406,$H38))</f>
        <v/>
      </c>
      <c r="H38" s="39" t="str">
        <f ca="1">IFERROR(_xludf.AGGREGATE(15,6,(ROW('MAPEO TEMAS'!$A$2:$A$406)-1)/(('MAPEO TEMAS'!$A$2:$A$406=$B$3)*('MAPEO TEMAS'!$C$2:$C$406&lt;=MATCH($G$3,$Q$1:$Q$12,0))*(('MAPEO TEMAS'!$E$2:$E$406="F")+('MAPEO TEMAS'!$E$2:$E$406="EP"))),ROWS($H$16:H38)),"")</f>
        <v/>
      </c>
      <c r="I38" s="39"/>
      <c r="J38" s="40" t="str">
        <f ca="1">IF($O38="","",INDEX('MAPEO TEMAS'!$D$2:$D$406,$O38))</f>
        <v/>
      </c>
      <c r="K38" s="39" t="str">
        <f ca="1">IF($O38="","",INDEX('MAPEO TEMAS'!$B$2:$B$406,$O38))</f>
        <v/>
      </c>
      <c r="L38" s="39" t="str">
        <f ca="1">IF($O38="","",INDEX('MAPEO TEMAS'!$G$2:$G$406,$O38))</f>
        <v/>
      </c>
      <c r="M38" s="39" t="str">
        <f ca="1">IF($O38="","",INDEX('MAPEO TEMAS'!$H$2:$H$406,$O38))</f>
        <v/>
      </c>
      <c r="N38" s="39" t="str">
        <f ca="1">IF($O38="","",INDEX('MAPEO TEMAS'!$I$2:$I$406,$O38))</f>
        <v/>
      </c>
      <c r="O38" t="str">
        <f ca="1">IFERROR(_xludf.AGGREGATE(15,6,(ROW('MAPEO TEMAS'!$A$2:$A$406)-1)/(('MAPEO TEMAS'!$A$2:$A$406=$B$3)*('MAPEO TEMAS'!$C$2:$C$406&lt;=MATCH($G$3,$Q$1:$Q$12,0))),ROWS($O$23:O38)),"")</f>
        <v/>
      </c>
    </row>
    <row r="39" spans="1:15" x14ac:dyDescent="0.25">
      <c r="A39" s="39" t="str">
        <f ca="1">IF($H39="","",INDEX('MAPEO TEMAS'!$B$2:$B$406,$H39))</f>
        <v/>
      </c>
      <c r="B39" s="40" t="str">
        <f ca="1">IF($H39="","",INDEX('MAPEO TEMAS'!$D$2:$D$406,$H39))</f>
        <v/>
      </c>
      <c r="C39" s="39" t="str">
        <f ca="1">IF($H39="","",INDEX('MAPEO TEMAS'!$E$2:$E$406,$H39))</f>
        <v/>
      </c>
      <c r="D39" s="41" t="str">
        <f ca="1">IF($H39="","",INDEX('MAPEO TEMAS'!$F$2:$F$406,$H39))</f>
        <v/>
      </c>
      <c r="E39" s="39" t="str">
        <f ca="1">IF($H39="","",INDEX('MAPEO TEMAS'!$G$2:$G$406,$H39))</f>
        <v/>
      </c>
      <c r="F39" s="39" t="str">
        <f ca="1">IF($H39="","",INDEX('MAPEO TEMAS'!$H$2:$H$406,$H39))</f>
        <v/>
      </c>
      <c r="G39" s="39" t="str">
        <f ca="1">IF($H39="","",INDEX('MAPEO TEMAS'!$I$2:$I$406,$H39))</f>
        <v/>
      </c>
      <c r="H39" s="39" t="str">
        <f ca="1">IFERROR(_xludf.AGGREGATE(15,6,(ROW('MAPEO TEMAS'!$A$2:$A$406)-1)/(('MAPEO TEMAS'!$A$2:$A$406=$B$3)*('MAPEO TEMAS'!$C$2:$C$406&lt;=MATCH($G$3,$Q$1:$Q$12,0))*(('MAPEO TEMAS'!$E$2:$E$406="F")+('MAPEO TEMAS'!$E$2:$E$406="EP"))),ROWS($H$16:H39)),"")</f>
        <v/>
      </c>
      <c r="I39" s="39"/>
      <c r="J39" s="40" t="str">
        <f ca="1">IF($O39="","",INDEX('MAPEO TEMAS'!$D$2:$D$406,$O39))</f>
        <v/>
      </c>
      <c r="K39" s="39" t="str">
        <f ca="1">IF($O39="","",INDEX('MAPEO TEMAS'!$B$2:$B$406,$O39))</f>
        <v/>
      </c>
      <c r="L39" s="39" t="str">
        <f ca="1">IF($O39="","",INDEX('MAPEO TEMAS'!$G$2:$G$406,$O39))</f>
        <v/>
      </c>
      <c r="M39" s="39" t="str">
        <f ca="1">IF($O39="","",INDEX('MAPEO TEMAS'!$H$2:$H$406,$O39))</f>
        <v/>
      </c>
      <c r="N39" s="39" t="str">
        <f ca="1">IF($O39="","",INDEX('MAPEO TEMAS'!$I$2:$I$406,$O39))</f>
        <v/>
      </c>
      <c r="O39" t="str">
        <f ca="1">IFERROR(_xludf.AGGREGATE(15,6,(ROW('MAPEO TEMAS'!$A$2:$A$406)-1)/(('MAPEO TEMAS'!$A$2:$A$406=$B$3)*('MAPEO TEMAS'!$C$2:$C$406&lt;=MATCH($G$3,$Q$1:$Q$12,0))),ROWS($O$23:O39)),"")</f>
        <v/>
      </c>
    </row>
    <row r="40" spans="1:15" x14ac:dyDescent="0.25">
      <c r="A40" s="39" t="str">
        <f ca="1">IF($H40="","",INDEX('MAPEO TEMAS'!$B$2:$B$406,$H40))</f>
        <v/>
      </c>
      <c r="B40" s="40" t="str">
        <f ca="1">IF($H40="","",INDEX('MAPEO TEMAS'!$D$2:$D$406,$H40))</f>
        <v/>
      </c>
      <c r="C40" s="39" t="str">
        <f ca="1">IF($H40="","",INDEX('MAPEO TEMAS'!$E$2:$E$406,$H40))</f>
        <v/>
      </c>
      <c r="D40" s="41" t="str">
        <f ca="1">IF($H40="","",INDEX('MAPEO TEMAS'!$F$2:$F$406,$H40))</f>
        <v/>
      </c>
      <c r="E40" s="39" t="str">
        <f ca="1">IF($H40="","",INDEX('MAPEO TEMAS'!$G$2:$G$406,$H40))</f>
        <v/>
      </c>
      <c r="F40" s="39" t="str">
        <f ca="1">IF($H40="","",INDEX('MAPEO TEMAS'!$H$2:$H$406,$H40))</f>
        <v/>
      </c>
      <c r="G40" s="39" t="str">
        <f ca="1">IF($H40="","",INDEX('MAPEO TEMAS'!$I$2:$I$406,$H40))</f>
        <v/>
      </c>
      <c r="H40" s="39" t="str">
        <f ca="1">IFERROR(_xludf.AGGREGATE(15,6,(ROW('MAPEO TEMAS'!$A$2:$A$406)-1)/(('MAPEO TEMAS'!$A$2:$A$406=$B$3)*('MAPEO TEMAS'!$C$2:$C$406&lt;=MATCH($G$3,$Q$1:$Q$12,0))*(('MAPEO TEMAS'!$E$2:$E$406="F")+('MAPEO TEMAS'!$E$2:$E$406="EP"))),ROWS($H$16:H40)),"")</f>
        <v/>
      </c>
      <c r="I40" s="39"/>
      <c r="J40" s="40" t="str">
        <f ca="1">IF($O40="","",INDEX('MAPEO TEMAS'!$D$2:$D$406,$O40))</f>
        <v/>
      </c>
      <c r="K40" s="39" t="str">
        <f ca="1">IF($O40="","",INDEX('MAPEO TEMAS'!$B$2:$B$406,$O40))</f>
        <v/>
      </c>
      <c r="L40" s="39" t="str">
        <f ca="1">IF($O40="","",INDEX('MAPEO TEMAS'!$G$2:$G$406,$O40))</f>
        <v/>
      </c>
      <c r="M40" s="39" t="str">
        <f ca="1">IF($O40="","",INDEX('MAPEO TEMAS'!$H$2:$H$406,$O40))</f>
        <v/>
      </c>
      <c r="N40" s="39" t="str">
        <f ca="1">IF($O40="","",INDEX('MAPEO TEMAS'!$I$2:$I$406,$O40))</f>
        <v/>
      </c>
      <c r="O40" t="str">
        <f ca="1">IFERROR(_xludf.AGGREGATE(15,6,(ROW('MAPEO TEMAS'!$A$2:$A$406)-1)/(('MAPEO TEMAS'!$A$2:$A$406=$B$3)*('MAPEO TEMAS'!$C$2:$C$406&lt;=MATCH($G$3,$Q$1:$Q$12,0))),ROWS($O$23:O40)),"")</f>
        <v/>
      </c>
    </row>
    <row r="41" spans="1:15" x14ac:dyDescent="0.25">
      <c r="A41" s="39" t="str">
        <f ca="1">IF($H41="","",INDEX('MAPEO TEMAS'!$B$2:$B$406,$H41))</f>
        <v/>
      </c>
      <c r="B41" s="40" t="str">
        <f ca="1">IF($H41="","",INDEX('MAPEO TEMAS'!$D$2:$D$406,$H41))</f>
        <v/>
      </c>
      <c r="C41" s="39" t="str">
        <f ca="1">IF($H41="","",INDEX('MAPEO TEMAS'!$E$2:$E$406,$H41))</f>
        <v/>
      </c>
      <c r="D41" s="41" t="str">
        <f ca="1">IF($H41="","",INDEX('MAPEO TEMAS'!$F$2:$F$406,$H41))</f>
        <v/>
      </c>
      <c r="E41" s="39" t="str">
        <f ca="1">IF($H41="","",INDEX('MAPEO TEMAS'!$G$2:$G$406,$H41))</f>
        <v/>
      </c>
      <c r="F41" s="39" t="str">
        <f ca="1">IF($H41="","",INDEX('MAPEO TEMAS'!$H$2:$H$406,$H41))</f>
        <v/>
      </c>
      <c r="G41" s="39" t="str">
        <f ca="1">IF($H41="","",INDEX('MAPEO TEMAS'!$I$2:$I$406,$H41))</f>
        <v/>
      </c>
      <c r="H41" s="39" t="str">
        <f ca="1">IFERROR(_xludf.AGGREGATE(15,6,(ROW('MAPEO TEMAS'!$A$2:$A$406)-1)/(('MAPEO TEMAS'!$A$2:$A$406=$B$3)*('MAPEO TEMAS'!$C$2:$C$406&lt;=MATCH($G$3,$Q$1:$Q$12,0))*(('MAPEO TEMAS'!$E$2:$E$406="F")+('MAPEO TEMAS'!$E$2:$E$406="EP"))),ROWS($H$16:H41)),"")</f>
        <v/>
      </c>
      <c r="I41" s="39"/>
      <c r="J41" s="40" t="str">
        <f ca="1">IF($O41="","",INDEX('MAPEO TEMAS'!$D$2:$D$406,$O41))</f>
        <v/>
      </c>
      <c r="K41" s="39" t="str">
        <f ca="1">IF($O41="","",INDEX('MAPEO TEMAS'!$B$2:$B$406,$O41))</f>
        <v/>
      </c>
      <c r="L41" s="39" t="str">
        <f ca="1">IF($O41="","",INDEX('MAPEO TEMAS'!$G$2:$G$406,$O41))</f>
        <v/>
      </c>
      <c r="M41" s="39" t="str">
        <f ca="1">IF($O41="","",INDEX('MAPEO TEMAS'!$H$2:$H$406,$O41))</f>
        <v/>
      </c>
      <c r="N41" s="39" t="str">
        <f ca="1">IF($O41="","",INDEX('MAPEO TEMAS'!$I$2:$I$406,$O41))</f>
        <v/>
      </c>
      <c r="O41" t="str">
        <f ca="1">IFERROR(_xludf.AGGREGATE(15,6,(ROW('MAPEO TEMAS'!$A$2:$A$406)-1)/(('MAPEO TEMAS'!$A$2:$A$406=$B$3)*('MAPEO TEMAS'!$C$2:$C$406&lt;=MATCH($G$3,$Q$1:$Q$12,0))),ROWS($O$23:O41)),"")</f>
        <v/>
      </c>
    </row>
    <row r="42" spans="1:15" x14ac:dyDescent="0.25">
      <c r="A42" s="39" t="str">
        <f ca="1">IF($H42="","",INDEX('MAPEO TEMAS'!$B$2:$B$406,$H42))</f>
        <v/>
      </c>
      <c r="B42" s="40" t="str">
        <f ca="1">IF($H42="","",INDEX('MAPEO TEMAS'!$D$2:$D$406,$H42))</f>
        <v/>
      </c>
      <c r="C42" s="39" t="str">
        <f ca="1">IF($H42="","",INDEX('MAPEO TEMAS'!$E$2:$E$406,$H42))</f>
        <v/>
      </c>
      <c r="D42" s="41" t="str">
        <f ca="1">IF($H42="","",INDEX('MAPEO TEMAS'!$F$2:$F$406,$H42))</f>
        <v/>
      </c>
      <c r="E42" s="39" t="str">
        <f ca="1">IF($H42="","",INDEX('MAPEO TEMAS'!$G$2:$G$406,$H42))</f>
        <v/>
      </c>
      <c r="F42" s="39" t="str">
        <f ca="1">IF($H42="","",INDEX('MAPEO TEMAS'!$H$2:$H$406,$H42))</f>
        <v/>
      </c>
      <c r="G42" s="39" t="str">
        <f ca="1">IF($H42="","",INDEX('MAPEO TEMAS'!$I$2:$I$406,$H42))</f>
        <v/>
      </c>
      <c r="H42" s="39" t="str">
        <f ca="1">IFERROR(_xludf.AGGREGATE(15,6,(ROW('MAPEO TEMAS'!$A$2:$A$406)-1)/(('MAPEO TEMAS'!$A$2:$A$406=$B$3)*('MAPEO TEMAS'!$C$2:$C$406&lt;=MATCH($G$3,$Q$1:$Q$12,0))*(('MAPEO TEMAS'!$E$2:$E$406="F")+('MAPEO TEMAS'!$E$2:$E$406="EP"))),ROWS($H$16:H42)),"")</f>
        <v/>
      </c>
      <c r="I42" s="39"/>
      <c r="J42" s="40" t="str">
        <f ca="1">IF($O42="","",INDEX('MAPEO TEMAS'!$D$2:$D$406,$O42))</f>
        <v/>
      </c>
      <c r="K42" s="39" t="str">
        <f ca="1">IF($O42="","",INDEX('MAPEO TEMAS'!$B$2:$B$406,$O42))</f>
        <v/>
      </c>
      <c r="L42" s="39" t="str">
        <f ca="1">IF($O42="","",INDEX('MAPEO TEMAS'!$G$2:$G$406,$O42))</f>
        <v/>
      </c>
      <c r="M42" s="39" t="str">
        <f ca="1">IF($O42="","",INDEX('MAPEO TEMAS'!$H$2:$H$406,$O42))</f>
        <v/>
      </c>
      <c r="N42" s="39" t="str">
        <f ca="1">IF($O42="","",INDEX('MAPEO TEMAS'!$I$2:$I$406,$O42))</f>
        <v/>
      </c>
      <c r="O42" t="str">
        <f ca="1">IFERROR(_xludf.AGGREGATE(15,6,(ROW('MAPEO TEMAS'!$A$2:$A$406)-1)/(('MAPEO TEMAS'!$A$2:$A$406=$B$3)*('MAPEO TEMAS'!$C$2:$C$406&lt;=MATCH($G$3,$Q$1:$Q$12,0))),ROWS($O$23:O42)),"")</f>
        <v/>
      </c>
    </row>
    <row r="43" spans="1:15" x14ac:dyDescent="0.25">
      <c r="A43" s="39" t="str">
        <f ca="1">IF($H43="","",INDEX('MAPEO TEMAS'!$B$2:$B$406,$H43))</f>
        <v/>
      </c>
      <c r="B43" s="40" t="str">
        <f ca="1">IF($H43="","",INDEX('MAPEO TEMAS'!$D$2:$D$406,$H43))</f>
        <v/>
      </c>
      <c r="C43" s="39" t="str">
        <f ca="1">IF($H43="","",INDEX('MAPEO TEMAS'!$E$2:$E$406,$H43))</f>
        <v/>
      </c>
      <c r="D43" s="41" t="str">
        <f ca="1">IF($H43="","",INDEX('MAPEO TEMAS'!$F$2:$F$406,$H43))</f>
        <v/>
      </c>
      <c r="E43" s="39" t="str">
        <f ca="1">IF($H43="","",INDEX('MAPEO TEMAS'!$G$2:$G$406,$H43))</f>
        <v/>
      </c>
      <c r="F43" s="39" t="str">
        <f ca="1">IF($H43="","",INDEX('MAPEO TEMAS'!$H$2:$H$406,$H43))</f>
        <v/>
      </c>
      <c r="G43" s="39" t="str">
        <f ca="1">IF($H43="","",INDEX('MAPEO TEMAS'!$I$2:$I$406,$H43))</f>
        <v/>
      </c>
      <c r="H43" s="39" t="str">
        <f ca="1">IFERROR(_xludf.AGGREGATE(15,6,(ROW('MAPEO TEMAS'!$A$2:$A$406)-1)/(('MAPEO TEMAS'!$A$2:$A$406=$B$3)*('MAPEO TEMAS'!$C$2:$C$406&lt;=MATCH($G$3,$Q$1:$Q$12,0))*(('MAPEO TEMAS'!$E$2:$E$406="F")+('MAPEO TEMAS'!$E$2:$E$406="EP"))),ROWS($H$16:H43)),"")</f>
        <v/>
      </c>
      <c r="I43" s="39"/>
      <c r="J43" s="40" t="str">
        <f ca="1">IF($O43="","",INDEX('MAPEO TEMAS'!$D$2:$D$406,$O43))</f>
        <v/>
      </c>
      <c r="K43" s="39" t="str">
        <f ca="1">IF($O43="","",INDEX('MAPEO TEMAS'!$B$2:$B$406,$O43))</f>
        <v/>
      </c>
      <c r="L43" s="39" t="str">
        <f ca="1">IF($O43="","",INDEX('MAPEO TEMAS'!$G$2:$G$406,$O43))</f>
        <v/>
      </c>
      <c r="M43" s="39" t="str">
        <f ca="1">IF($O43="","",INDEX('MAPEO TEMAS'!$H$2:$H$406,$O43))</f>
        <v/>
      </c>
      <c r="N43" s="39" t="str">
        <f ca="1">IF($O43="","",INDEX('MAPEO TEMAS'!$I$2:$I$406,$O43))</f>
        <v/>
      </c>
      <c r="O43" t="str">
        <f ca="1">IFERROR(_xludf.AGGREGATE(15,6,(ROW('MAPEO TEMAS'!$A$2:$A$406)-1)/(('MAPEO TEMAS'!$A$2:$A$406=$B$3)*('MAPEO TEMAS'!$C$2:$C$406&lt;=MATCH($G$3,$Q$1:$Q$12,0))),ROWS($O$23:O43)),"")</f>
        <v/>
      </c>
    </row>
    <row r="44" spans="1:15" x14ac:dyDescent="0.25">
      <c r="A44" s="39" t="str">
        <f ca="1">IF($H44="","",INDEX('MAPEO TEMAS'!$B$2:$B$406,$H44))</f>
        <v/>
      </c>
      <c r="B44" s="40" t="str">
        <f ca="1">IF($H44="","",INDEX('MAPEO TEMAS'!$D$2:$D$406,$H44))</f>
        <v/>
      </c>
      <c r="C44" s="39" t="str">
        <f ca="1">IF($H44="","",INDEX('MAPEO TEMAS'!$E$2:$E$406,$H44))</f>
        <v/>
      </c>
      <c r="D44" s="41" t="str">
        <f ca="1">IF($H44="","",INDEX('MAPEO TEMAS'!$F$2:$F$406,$H44))</f>
        <v/>
      </c>
      <c r="E44" s="39" t="str">
        <f ca="1">IF($H44="","",INDEX('MAPEO TEMAS'!$G$2:$G$406,$H44))</f>
        <v/>
      </c>
      <c r="F44" s="39" t="str">
        <f ca="1">IF($H44="","",INDEX('MAPEO TEMAS'!$H$2:$H$406,$H44))</f>
        <v/>
      </c>
      <c r="G44" s="39" t="str">
        <f ca="1">IF($H44="","",INDEX('MAPEO TEMAS'!$I$2:$I$406,$H44))</f>
        <v/>
      </c>
      <c r="H44" s="39" t="str">
        <f ca="1">IFERROR(_xludf.AGGREGATE(15,6,(ROW('MAPEO TEMAS'!$A$2:$A$406)-1)/(('MAPEO TEMAS'!$A$2:$A$406=$B$3)*('MAPEO TEMAS'!$C$2:$C$406&lt;=MATCH($G$3,$Q$1:$Q$12,0))*(('MAPEO TEMAS'!$E$2:$E$406="F")+('MAPEO TEMAS'!$E$2:$E$406="EP"))),ROWS($H$16:H44)),"")</f>
        <v/>
      </c>
      <c r="I44" s="39"/>
      <c r="J44" s="40" t="str">
        <f ca="1">IF($O44="","",INDEX('MAPEO TEMAS'!$D$2:$D$406,$O44))</f>
        <v/>
      </c>
      <c r="K44" s="39" t="str">
        <f ca="1">IF($O44="","",INDEX('MAPEO TEMAS'!$B$2:$B$406,$O44))</f>
        <v/>
      </c>
      <c r="L44" s="39" t="str">
        <f ca="1">IF($O44="","",INDEX('MAPEO TEMAS'!$G$2:$G$406,$O44))</f>
        <v/>
      </c>
      <c r="M44" s="39" t="str">
        <f ca="1">IF($O44="","",INDEX('MAPEO TEMAS'!$H$2:$H$406,$O44))</f>
        <v/>
      </c>
      <c r="N44" s="39" t="str">
        <f ca="1">IF($O44="","",INDEX('MAPEO TEMAS'!$I$2:$I$406,$O44))</f>
        <v/>
      </c>
      <c r="O44" t="str">
        <f ca="1">IFERROR(_xludf.AGGREGATE(15,6,(ROW('MAPEO TEMAS'!$A$2:$A$406)-1)/(('MAPEO TEMAS'!$A$2:$A$406=$B$3)*('MAPEO TEMAS'!$C$2:$C$406&lt;=MATCH($G$3,$Q$1:$Q$12,0))),ROWS($O$23:O44)),"")</f>
        <v/>
      </c>
    </row>
    <row r="45" spans="1:15" x14ac:dyDescent="0.25">
      <c r="A45" s="39" t="str">
        <f ca="1">IF($H45="","",INDEX('MAPEO TEMAS'!$B$2:$B$406,$H45))</f>
        <v/>
      </c>
      <c r="B45" s="40" t="str">
        <f ca="1">IF($H45="","",INDEX('MAPEO TEMAS'!$D$2:$D$406,$H45))</f>
        <v/>
      </c>
      <c r="C45" s="39" t="str">
        <f ca="1">IF($H45="","",INDEX('MAPEO TEMAS'!$E$2:$E$406,$H45))</f>
        <v/>
      </c>
      <c r="D45" s="41" t="str">
        <f ca="1">IF($H45="","",INDEX('MAPEO TEMAS'!$F$2:$F$406,$H45))</f>
        <v/>
      </c>
      <c r="E45" s="39" t="str">
        <f ca="1">IF($H45="","",INDEX('MAPEO TEMAS'!$G$2:$G$406,$H45))</f>
        <v/>
      </c>
      <c r="F45" s="39" t="str">
        <f ca="1">IF($H45="","",INDEX('MAPEO TEMAS'!$H$2:$H$406,$H45))</f>
        <v/>
      </c>
      <c r="G45" s="39" t="str">
        <f ca="1">IF($H45="","",INDEX('MAPEO TEMAS'!$I$2:$I$406,$H45))</f>
        <v/>
      </c>
      <c r="H45" s="39" t="str">
        <f ca="1">IFERROR(_xludf.AGGREGATE(15,6,(ROW('MAPEO TEMAS'!$A$2:$A$406)-1)/(('MAPEO TEMAS'!$A$2:$A$406=$B$3)*('MAPEO TEMAS'!$C$2:$C$406&lt;=MATCH($G$3,$Q$1:$Q$12,0))*(('MAPEO TEMAS'!$E$2:$E$406="F")+('MAPEO TEMAS'!$E$2:$E$406="EP"))),ROWS($H$16:H45)),"")</f>
        <v/>
      </c>
      <c r="I45" s="39"/>
      <c r="J45" s="40" t="str">
        <f ca="1">IF($O45="","",INDEX('MAPEO TEMAS'!$D$2:$D$406,$O45))</f>
        <v/>
      </c>
      <c r="K45" s="39" t="str">
        <f ca="1">IF($O45="","",INDEX('MAPEO TEMAS'!$B$2:$B$406,$O45))</f>
        <v/>
      </c>
      <c r="L45" s="39" t="str">
        <f ca="1">IF($O45="","",INDEX('MAPEO TEMAS'!$G$2:$G$406,$O45))</f>
        <v/>
      </c>
      <c r="M45" s="39" t="str">
        <f ca="1">IF($O45="","",INDEX('MAPEO TEMAS'!$H$2:$H$406,$O45))</f>
        <v/>
      </c>
      <c r="N45" s="39" t="str">
        <f ca="1">IF($O45="","",INDEX('MAPEO TEMAS'!$I$2:$I$406,$O45))</f>
        <v/>
      </c>
      <c r="O45" t="str">
        <f ca="1">IFERROR(_xludf.AGGREGATE(15,6,(ROW('MAPEO TEMAS'!$A$2:$A$406)-1)/(('MAPEO TEMAS'!$A$2:$A$406=$B$3)*('MAPEO TEMAS'!$C$2:$C$406&lt;=MATCH($G$3,$Q$1:$Q$12,0))),ROWS($O$23:O45)),"")</f>
        <v/>
      </c>
    </row>
    <row r="46" spans="1:15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40" t="str">
        <f ca="1">IF($O46="","",INDEX('MAPEO TEMAS'!$D$2:$D$406,$O46))</f>
        <v/>
      </c>
      <c r="K46" s="39" t="str">
        <f ca="1">IF($O46="","",INDEX('MAPEO TEMAS'!$B$2:$B$406,$O46))</f>
        <v/>
      </c>
      <c r="L46" s="39" t="str">
        <f ca="1">IF($O46="","",INDEX('MAPEO TEMAS'!$G$2:$G$406,$O46))</f>
        <v/>
      </c>
      <c r="M46" s="39" t="str">
        <f ca="1">IF($O46="","",INDEX('MAPEO TEMAS'!$H$2:$H$406,$O46))</f>
        <v/>
      </c>
      <c r="N46" s="39" t="str">
        <f ca="1">IF($O46="","",INDEX('MAPEO TEMAS'!$I$2:$I$406,$O46))</f>
        <v/>
      </c>
      <c r="O46" t="str">
        <f ca="1">IFERROR(_xludf.AGGREGATE(15,6,(ROW('MAPEO TEMAS'!$A$2:$A$406)-1)/(('MAPEO TEMAS'!$A$2:$A$406=$B$3)*('MAPEO TEMAS'!$C$2:$C$406&lt;=MATCH($G$3,$Q$1:$Q$12,0))),ROWS($O$23:O46)),"")</f>
        <v/>
      </c>
    </row>
    <row r="47" spans="1:15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40" t="str">
        <f ca="1">IF($O47="","",INDEX('MAPEO TEMAS'!$D$2:$D$406,$O47))</f>
        <v/>
      </c>
      <c r="K47" s="39" t="str">
        <f ca="1">IF($O47="","",INDEX('MAPEO TEMAS'!$B$2:$B$406,$O47))</f>
        <v/>
      </c>
      <c r="L47" s="39" t="str">
        <f ca="1">IF($O47="","",INDEX('MAPEO TEMAS'!$G$2:$G$406,$O47))</f>
        <v/>
      </c>
      <c r="M47" s="39" t="str">
        <f ca="1">IF($O47="","",INDEX('MAPEO TEMAS'!$H$2:$H$406,$O47))</f>
        <v/>
      </c>
      <c r="N47" s="39" t="str">
        <f ca="1">IF($O47="","",INDEX('MAPEO TEMAS'!$I$2:$I$406,$O47))</f>
        <v/>
      </c>
      <c r="O47" t="str">
        <f ca="1">IFERROR(_xludf.AGGREGATE(15,6,(ROW('MAPEO TEMAS'!$A$2:$A$406)-1)/(('MAPEO TEMAS'!$A$2:$A$406=$B$3)*('MAPEO TEMAS'!$C$2:$C$406&lt;=MATCH($G$3,$Q$1:$Q$12,0))),ROWS($O$23:O47)),"")</f>
        <v/>
      </c>
    </row>
    <row r="48" spans="1:15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40" t="str">
        <f ca="1">IF($O48="","",INDEX('MAPEO TEMAS'!$D$2:$D$406,$O48))</f>
        <v/>
      </c>
      <c r="K48" s="39" t="str">
        <f ca="1">IF($O48="","",INDEX('MAPEO TEMAS'!$B$2:$B$406,$O48))</f>
        <v/>
      </c>
      <c r="L48" s="39" t="str">
        <f ca="1">IF($O48="","",INDEX('MAPEO TEMAS'!$G$2:$G$406,$O48))</f>
        <v/>
      </c>
      <c r="M48" s="39" t="str">
        <f ca="1">IF($O48="","",INDEX('MAPEO TEMAS'!$H$2:$H$406,$O48))</f>
        <v/>
      </c>
      <c r="N48" s="39" t="str">
        <f ca="1">IF($O48="","",INDEX('MAPEO TEMAS'!$I$2:$I$406,$O48))</f>
        <v/>
      </c>
      <c r="O48" t="str">
        <f ca="1">IFERROR(_xludf.AGGREGATE(15,6,(ROW('MAPEO TEMAS'!$A$2:$A$406)-1)/(('MAPEO TEMAS'!$A$2:$A$406=$B$3)*('MAPEO TEMAS'!$C$2:$C$406&lt;=MATCH($G$3,$Q$1:$Q$12,0))),ROWS($O$23:O48)),"")</f>
        <v/>
      </c>
    </row>
    <row r="49" spans="1:15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40" t="str">
        <f ca="1">IF($O49="","",INDEX('MAPEO TEMAS'!$D$2:$D$406,$O49))</f>
        <v/>
      </c>
      <c r="K49" s="39" t="str">
        <f ca="1">IF($O49="","",INDEX('MAPEO TEMAS'!$B$2:$B$406,$O49))</f>
        <v/>
      </c>
      <c r="L49" s="39" t="str">
        <f ca="1">IF($O49="","",INDEX('MAPEO TEMAS'!$G$2:$G$406,$O49))</f>
        <v/>
      </c>
      <c r="M49" s="39" t="str">
        <f ca="1">IF($O49="","",INDEX('MAPEO TEMAS'!$H$2:$H$406,$O49))</f>
        <v/>
      </c>
      <c r="N49" s="39" t="str">
        <f ca="1">IF($O49="","",INDEX('MAPEO TEMAS'!$I$2:$I$406,$O49))</f>
        <v/>
      </c>
      <c r="O49" t="str">
        <f ca="1">IFERROR(_xludf.AGGREGATE(15,6,(ROW('MAPEO TEMAS'!$A$2:$A$406)-1)/(('MAPEO TEMAS'!$A$2:$A$406=$B$3)*('MAPEO TEMAS'!$C$2:$C$406&lt;=MATCH($G$3,$Q$1:$Q$12,0))),ROWS($O$23:O49)),"")</f>
        <v/>
      </c>
    </row>
  </sheetData>
  <mergeCells count="25">
    <mergeCell ref="A14:H14"/>
    <mergeCell ref="J14:N14"/>
    <mergeCell ref="J21:N21"/>
    <mergeCell ref="A10:C10"/>
    <mergeCell ref="D10:F10"/>
    <mergeCell ref="G10:I10"/>
    <mergeCell ref="J10:N10"/>
    <mergeCell ref="A11:C12"/>
    <mergeCell ref="D11:F12"/>
    <mergeCell ref="G11:I12"/>
    <mergeCell ref="J11:N12"/>
    <mergeCell ref="A7:B8"/>
    <mergeCell ref="C7:D8"/>
    <mergeCell ref="E7:F8"/>
    <mergeCell ref="G7:H8"/>
    <mergeCell ref="I7:N8"/>
    <mergeCell ref="A1:N1"/>
    <mergeCell ref="B3:D3"/>
    <mergeCell ref="G3:H3"/>
    <mergeCell ref="K3:N3"/>
    <mergeCell ref="A6:B6"/>
    <mergeCell ref="C6:D6"/>
    <mergeCell ref="E6:F6"/>
    <mergeCell ref="G6:H6"/>
    <mergeCell ref="I6:N6"/>
  </mergeCells>
  <conditionalFormatting sqref="J11:N12">
    <cfRule type="cellIs" dxfId="8" priority="1" operator="lessThan">
      <formula>0</formula>
    </cfRule>
  </conditionalFormatting>
  <conditionalFormatting sqref="A16:G45">
    <cfRule type="expression" dxfId="7" priority="2">
      <formula>$C16="F"</formula>
    </cfRule>
    <cfRule type="expression" dxfId="6" priority="3">
      <formula>$C16="EP"</formula>
    </cfRule>
  </conditionalFormatting>
  <conditionalFormatting sqref="E16:G45">
    <cfRule type="expression" dxfId="5" priority="4">
      <formula>E16="C"</formula>
    </cfRule>
    <cfRule type="expression" dxfId="4" priority="5">
      <formula>E16="F"</formula>
    </cfRule>
    <cfRule type="expression" dxfId="3" priority="6">
      <formula>E16="EP"</formula>
    </cfRule>
  </conditionalFormatting>
  <conditionalFormatting sqref="L23:N49">
    <cfRule type="expression" dxfId="2" priority="7">
      <formula>L23="C"</formula>
    </cfRule>
    <cfRule type="expression" dxfId="1" priority="8">
      <formula>L23="F"</formula>
    </cfRule>
    <cfRule type="expression" dxfId="0" priority="9">
      <formula>L23="EP"</formula>
    </cfRule>
  </conditionalFormatting>
  <dataValidations count="2">
    <dataValidation type="list" sqref="B3" xr:uid="{00000000-0002-0000-0400-000000000000}">
      <formula1>$P$1:$P$15</formula1>
    </dataValidation>
    <dataValidation type="list" sqref="G3" xr:uid="{00000000-0002-0000-0400-000001000000}">
      <formula1>$Q$1:$Q$12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PROGRAMA LECTURA</vt:lpstr>
      <vt:lpstr>CUMPLIMIENTO GUARDIAS</vt:lpstr>
      <vt:lpstr>DASHBOARD</vt:lpstr>
      <vt:lpstr>MAPEO TEMAS</vt:lpstr>
      <vt:lpstr>DASHBOARD AVANZADO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Ingaroca</cp:lastModifiedBy>
  <dcterms:modified xsi:type="dcterms:W3CDTF">2026-07-28T15:58:26Z</dcterms:modified>
</cp:coreProperties>
</file>